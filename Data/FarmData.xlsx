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4"/>
  <workbookPr/>
  <mc:AlternateContent xmlns:mc="http://schemas.openxmlformats.org/markup-compatibility/2006">
    <mc:Choice Requires="x15">
      <x15ac:absPath xmlns:x15ac="http://schemas.microsoft.com/office/spreadsheetml/2010/11/ac" url="https://unimelbcloud-my.sharepoint.com/personal/poliveiranog_student_unimelb_edu_au/Documents/Excel/"/>
    </mc:Choice>
  </mc:AlternateContent>
  <xr:revisionPtr revIDLastSave="0" documentId="8_{73F33083-2901-4F04-B6EA-CCDEB14297DA}" xr6:coauthVersionLast="47" xr6:coauthVersionMax="47" xr10:uidLastSave="{00000000-0000-0000-0000-000000000000}"/>
  <bookViews>
    <workbookView xWindow="-110" yWindow="-110" windowWidth="19420" windowHeight="10420" xr2:uid="{1344AF0F-5F6F-4274-AC74-F9EC2D9AE7FC}"/>
  </bookViews>
  <sheets>
    <sheet name="Model" sheetId="3" r:id="rId1"/>
    <sheet name="Values" sheetId="4" r:id="rId2"/>
    <sheet name="VHT Adj. CP" sheetId="9" r:id="rId3"/>
    <sheet name="VHT Adj." sheetId="6" r:id="rId4"/>
    <sheet name="Sheet1" sheetId="7" r:id="rId5"/>
  </sheets>
  <definedNames>
    <definedName name="_xlnm._FilterDatabase" localSheetId="0" hidden="1">Model!$A$173:$AK$280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4" i="9" l="1"/>
  <c r="C24" i="9"/>
  <c r="I4" i="9"/>
  <c r="I5" i="9"/>
  <c r="D23" i="9"/>
  <c r="B23" i="9"/>
  <c r="D22" i="9"/>
  <c r="B22" i="9"/>
  <c r="D21" i="9"/>
  <c r="B21" i="9"/>
  <c r="D20" i="9"/>
  <c r="B20" i="9"/>
  <c r="C4" i="9"/>
  <c r="D12" i="9" s="1"/>
  <c r="C3" i="9"/>
  <c r="B4" i="9"/>
  <c r="B3" i="9"/>
  <c r="B3" i="6"/>
  <c r="I10" i="6"/>
  <c r="L7" i="4"/>
  <c r="C3" i="6"/>
  <c r="E10" i="9" l="1"/>
  <c r="E9" i="9"/>
  <c r="D9" i="9"/>
  <c r="C9" i="9"/>
  <c r="B9" i="9"/>
  <c r="B5" i="9"/>
  <c r="D3" i="9"/>
  <c r="D10" i="9"/>
  <c r="C10" i="9"/>
  <c r="B10" i="9"/>
  <c r="C5" i="9"/>
  <c r="E11" i="9"/>
  <c r="D11" i="9"/>
  <c r="C11" i="9"/>
  <c r="B11" i="9"/>
  <c r="D4" i="9"/>
  <c r="E12" i="9"/>
  <c r="C12" i="9"/>
  <c r="B12" i="9"/>
  <c r="H2" i="4"/>
  <c r="H14" i="4"/>
  <c r="H20" i="4"/>
  <c r="L6" i="4"/>
  <c r="L5" i="4"/>
  <c r="E9" i="6"/>
  <c r="I11" i="6"/>
  <c r="C5" i="6"/>
  <c r="C4" i="6"/>
  <c r="C12" i="6" s="1"/>
  <c r="B4" i="6"/>
  <c r="B11" i="6" s="1"/>
  <c r="E10" i="6"/>
  <c r="D10" i="6"/>
  <c r="C10" i="6"/>
  <c r="B10" i="6"/>
  <c r="H137" i="3"/>
  <c r="H131" i="3"/>
  <c r="H121" i="3"/>
  <c r="H138" i="3"/>
  <c r="H84" i="3"/>
  <c r="H91" i="3"/>
  <c r="H87" i="3"/>
  <c r="H155" i="3"/>
  <c r="H89" i="3"/>
  <c r="H88" i="3"/>
  <c r="H80" i="3"/>
  <c r="H83" i="3"/>
  <c r="H82" i="3"/>
  <c r="H55" i="3"/>
  <c r="H81" i="3"/>
  <c r="H86" i="3"/>
  <c r="H64" i="3"/>
  <c r="H77" i="3"/>
  <c r="H78" i="3"/>
  <c r="H79" i="3"/>
  <c r="H62" i="3"/>
  <c r="H63" i="3"/>
  <c r="H60" i="3"/>
  <c r="H65" i="3"/>
  <c r="H76" i="3"/>
  <c r="H61" i="3"/>
  <c r="H75" i="3"/>
  <c r="H73" i="3"/>
  <c r="H162" i="3"/>
  <c r="H108" i="3"/>
  <c r="H42" i="3"/>
  <c r="H48" i="3"/>
  <c r="H49" i="3"/>
  <c r="H45" i="3"/>
  <c r="H50" i="3"/>
  <c r="H43" i="3"/>
  <c r="H70" i="3"/>
  <c r="H69" i="3"/>
  <c r="H68" i="3"/>
  <c r="H47" i="3"/>
  <c r="H102" i="3"/>
  <c r="H104" i="3"/>
  <c r="H44" i="3"/>
  <c r="H53" i="3"/>
  <c r="H46" i="3"/>
  <c r="H100" i="3"/>
  <c r="H90" i="3"/>
  <c r="H51" i="3"/>
  <c r="H54" i="3"/>
  <c r="H72" i="3"/>
  <c r="H52" i="3"/>
  <c r="H99" i="3"/>
  <c r="H96" i="3"/>
  <c r="H101" i="3"/>
  <c r="H57" i="3"/>
  <c r="H103" i="3"/>
  <c r="H71" i="3"/>
  <c r="H56" i="3"/>
  <c r="H59" i="3"/>
  <c r="H58" i="3"/>
  <c r="H67" i="3"/>
  <c r="H105" i="3"/>
  <c r="H106" i="3"/>
  <c r="H98" i="3"/>
  <c r="H109" i="3"/>
  <c r="H110" i="3"/>
  <c r="H111" i="3"/>
  <c r="H113" i="3"/>
  <c r="H114" i="3"/>
  <c r="H115" i="3"/>
  <c r="H116" i="3"/>
  <c r="H118" i="3"/>
  <c r="H119" i="3"/>
  <c r="H120" i="3"/>
  <c r="H93" i="3"/>
  <c r="H122" i="3"/>
  <c r="H123" i="3"/>
  <c r="H124" i="3"/>
  <c r="H125" i="3"/>
  <c r="H126" i="3"/>
  <c r="H127" i="3"/>
  <c r="H128" i="3"/>
  <c r="H129" i="3"/>
  <c r="H130" i="3"/>
  <c r="H66" i="3"/>
  <c r="H135" i="3"/>
  <c r="H136" i="3"/>
  <c r="H97" i="3"/>
  <c r="H166" i="3"/>
  <c r="H139" i="3"/>
  <c r="H140" i="3"/>
  <c r="H141" i="3"/>
  <c r="H142" i="3"/>
  <c r="H143" i="3"/>
  <c r="H144" i="3"/>
  <c r="H145" i="3"/>
  <c r="H146" i="3"/>
  <c r="H148" i="3"/>
  <c r="H149" i="3"/>
  <c r="H150" i="3"/>
  <c r="H151" i="3"/>
  <c r="H152" i="3"/>
  <c r="H153" i="3"/>
  <c r="H158" i="3"/>
  <c r="H94" i="3"/>
  <c r="H165" i="3"/>
  <c r="H161" i="3"/>
  <c r="H159" i="3"/>
  <c r="H157" i="3"/>
  <c r="H92" i="3"/>
  <c r="H163" i="3"/>
  <c r="H156" i="3"/>
  <c r="H95" i="3"/>
  <c r="H167" i="3"/>
  <c r="H168" i="3"/>
  <c r="H170" i="3"/>
  <c r="H171" i="3"/>
  <c r="H172" i="3"/>
  <c r="H85" i="3"/>
  <c r="C17" i="4"/>
  <c r="D17" i="4"/>
  <c r="E17" i="4"/>
  <c r="G17" i="4"/>
  <c r="B17" i="4"/>
  <c r="C18" i="4"/>
  <c r="D18" i="4"/>
  <c r="E18" i="4"/>
  <c r="G18" i="4"/>
  <c r="B18" i="4"/>
  <c r="H6" i="4"/>
  <c r="H18" i="4" s="1"/>
  <c r="H7" i="4"/>
  <c r="H5" i="4"/>
  <c r="H17" i="4" s="1"/>
  <c r="E20" i="4"/>
  <c r="C20" i="4"/>
  <c r="D20" i="4"/>
  <c r="G20" i="4"/>
  <c r="B20" i="4"/>
  <c r="C19" i="4"/>
  <c r="D19" i="4"/>
  <c r="E19" i="4"/>
  <c r="G19" i="4"/>
  <c r="B19" i="4"/>
  <c r="C15" i="4"/>
  <c r="D15" i="4"/>
  <c r="E15" i="4"/>
  <c r="G15" i="4"/>
  <c r="B15" i="4"/>
  <c r="C14" i="4"/>
  <c r="D14" i="4"/>
  <c r="E14" i="4"/>
  <c r="G14" i="4"/>
  <c r="B14" i="4"/>
  <c r="H4" i="4"/>
  <c r="H8" i="4"/>
  <c r="H9" i="4"/>
  <c r="H10" i="4"/>
  <c r="H19" i="4" s="1"/>
  <c r="H11" i="4"/>
  <c r="H12" i="4"/>
  <c r="B13" i="9" l="1"/>
  <c r="C13" i="9"/>
  <c r="D13" i="9"/>
  <c r="E13" i="9"/>
  <c r="C9" i="6"/>
  <c r="C13" i="6" s="1"/>
  <c r="D9" i="6"/>
  <c r="B9" i="6"/>
  <c r="B5" i="6"/>
  <c r="D3" i="6"/>
  <c r="B12" i="6"/>
  <c r="B13" i="6" s="1"/>
  <c r="I15" i="6" s="1"/>
  <c r="L8" i="4" s="1"/>
  <c r="E12" i="6"/>
  <c r="E13" i="6" s="1"/>
  <c r="I7" i="6"/>
  <c r="D12" i="6"/>
  <c r="D11" i="6"/>
  <c r="D4" i="6"/>
  <c r="E11" i="6"/>
  <c r="C11" i="6"/>
  <c r="H15" i="4"/>
  <c r="D16" i="4"/>
  <c r="B16" i="4"/>
  <c r="C16" i="4"/>
  <c r="E16" i="4"/>
  <c r="G16" i="4"/>
  <c r="I21" i="9" l="1"/>
  <c r="B24" i="9" s="1"/>
  <c r="D24" i="9"/>
  <c r="I20" i="9"/>
  <c r="D13" i="6"/>
  <c r="I16" i="6" s="1"/>
  <c r="H16" i="4"/>
  <c r="L3" i="4" s="1"/>
</calcChain>
</file>

<file path=xl/sharedStrings.xml><?xml version="1.0" encoding="utf-8"?>
<sst xmlns="http://schemas.openxmlformats.org/spreadsheetml/2006/main" count="5013" uniqueCount="388">
  <si>
    <t>Dam ID</t>
  </si>
  <si>
    <t>Farm</t>
  </si>
  <si>
    <t>Dam</t>
  </si>
  <si>
    <t>Sample Type</t>
  </si>
  <si>
    <t>Age Class</t>
  </si>
  <si>
    <t>Age (Months)</t>
  </si>
  <si>
    <t>Collection Date (Dam)</t>
  </si>
  <si>
    <t>Preg. Outcome</t>
  </si>
  <si>
    <t>Calf ID</t>
  </si>
  <si>
    <t>Calf</t>
  </si>
  <si>
    <t>Calf Sex</t>
  </si>
  <si>
    <t>Collection Date (Calf)</t>
  </si>
  <si>
    <t>Calf Birth Date</t>
  </si>
  <si>
    <t>Colostrum ID</t>
  </si>
  <si>
    <t xml:space="preserve">Colostrum </t>
  </si>
  <si>
    <t>Notes</t>
  </si>
  <si>
    <t>Pre-Status</t>
  </si>
  <si>
    <t>Post-Status</t>
  </si>
  <si>
    <t>Birth Status</t>
  </si>
  <si>
    <t>ELISA</t>
  </si>
  <si>
    <t>PCR</t>
  </si>
  <si>
    <t>Pre</t>
  </si>
  <si>
    <t>Post</t>
  </si>
  <si>
    <t>W</t>
  </si>
  <si>
    <t>Neg</t>
  </si>
  <si>
    <t>Blood</t>
  </si>
  <si>
    <t>Calved</t>
  </si>
  <si>
    <t>F</t>
  </si>
  <si>
    <t>54P</t>
  </si>
  <si>
    <t>Pos</t>
  </si>
  <si>
    <t>H-39</t>
  </si>
  <si>
    <t>M</t>
  </si>
  <si>
    <t>62B</t>
  </si>
  <si>
    <t>38P</t>
  </si>
  <si>
    <t>Stillbirth</t>
  </si>
  <si>
    <t>G</t>
  </si>
  <si>
    <t>?</t>
  </si>
  <si>
    <t>G-culled</t>
  </si>
  <si>
    <t>301F</t>
  </si>
  <si>
    <t>BW</t>
  </si>
  <si>
    <t>BT</t>
  </si>
  <si>
    <t>P</t>
  </si>
  <si>
    <t>42P</t>
  </si>
  <si>
    <t>37P</t>
  </si>
  <si>
    <t>401F</t>
  </si>
  <si>
    <t>301M</t>
  </si>
  <si>
    <t>Doub</t>
  </si>
  <si>
    <t>X</t>
  </si>
  <si>
    <t>64P</t>
  </si>
  <si>
    <t>401M</t>
  </si>
  <si>
    <t>1P</t>
  </si>
  <si>
    <t>73P</t>
  </si>
  <si>
    <t>R</t>
  </si>
  <si>
    <t>Milk</t>
  </si>
  <si>
    <t>NC</t>
  </si>
  <si>
    <t>F?</t>
  </si>
  <si>
    <t>NC198</t>
  </si>
  <si>
    <t>NC199</t>
  </si>
  <si>
    <t>11/6/204</t>
  </si>
  <si>
    <t>14/6/2024</t>
  </si>
  <si>
    <t>14/06/2024</t>
  </si>
  <si>
    <t>16/6/2024</t>
  </si>
  <si>
    <t>19/06/2024</t>
  </si>
  <si>
    <t>21/06/2024</t>
  </si>
  <si>
    <t>26/06/2024</t>
  </si>
  <si>
    <t>2B</t>
  </si>
  <si>
    <t>3B</t>
  </si>
  <si>
    <t>4B</t>
  </si>
  <si>
    <t>B10</t>
  </si>
  <si>
    <t>15/6/2024</t>
  </si>
  <si>
    <t>B11</t>
  </si>
  <si>
    <t>B12</t>
  </si>
  <si>
    <t>B13</t>
  </si>
  <si>
    <t>B14</t>
  </si>
  <si>
    <t>B15</t>
  </si>
  <si>
    <t>B16</t>
  </si>
  <si>
    <t>29/06/2024</t>
  </si>
  <si>
    <t>B17</t>
  </si>
  <si>
    <t>B18</t>
  </si>
  <si>
    <t>B19</t>
  </si>
  <si>
    <t>B20</t>
  </si>
  <si>
    <t>B21</t>
  </si>
  <si>
    <t>B22</t>
  </si>
  <si>
    <t>B23</t>
  </si>
  <si>
    <t>B24</t>
  </si>
  <si>
    <t>B25</t>
  </si>
  <si>
    <t>19/07/2024</t>
  </si>
  <si>
    <t>B26</t>
  </si>
  <si>
    <t>25/7/2024</t>
  </si>
  <si>
    <t>B27</t>
  </si>
  <si>
    <t>25/07/2024</t>
  </si>
  <si>
    <t>B28</t>
  </si>
  <si>
    <t>B29</t>
  </si>
  <si>
    <t>28/7/2024</t>
  </si>
  <si>
    <t>B32</t>
  </si>
  <si>
    <t>B33</t>
  </si>
  <si>
    <t>B34</t>
  </si>
  <si>
    <t>B35</t>
  </si>
  <si>
    <t>B36</t>
  </si>
  <si>
    <t>B37</t>
  </si>
  <si>
    <t>B38</t>
  </si>
  <si>
    <t>B5</t>
  </si>
  <si>
    <t>B6</t>
  </si>
  <si>
    <t>B7</t>
  </si>
  <si>
    <t>B8</t>
  </si>
  <si>
    <t>B9</t>
  </si>
  <si>
    <t>C1</t>
  </si>
  <si>
    <t>C10</t>
  </si>
  <si>
    <t>C11</t>
  </si>
  <si>
    <t>13/07/2024</t>
  </si>
  <si>
    <t>C12</t>
  </si>
  <si>
    <t>C13</t>
  </si>
  <si>
    <t>C14</t>
  </si>
  <si>
    <t>29/07/2024</t>
  </si>
  <si>
    <t>C16</t>
  </si>
  <si>
    <t>C17</t>
  </si>
  <si>
    <t>C18</t>
  </si>
  <si>
    <t>C19</t>
  </si>
  <si>
    <t>C2</t>
  </si>
  <si>
    <t>22/06/2024</t>
  </si>
  <si>
    <t>C20</t>
  </si>
  <si>
    <t>C21</t>
  </si>
  <si>
    <t>17/08/2023</t>
  </si>
  <si>
    <t>B9140</t>
  </si>
  <si>
    <t>H7328</t>
  </si>
  <si>
    <t>Pool 4</t>
  </si>
  <si>
    <t>H7344</t>
  </si>
  <si>
    <t>H7350</t>
  </si>
  <si>
    <t>B8962</t>
  </si>
  <si>
    <t>13/08/2023</t>
  </si>
  <si>
    <t>B8956</t>
  </si>
  <si>
    <t>B8952</t>
  </si>
  <si>
    <t>B8972</t>
  </si>
  <si>
    <t>B8937</t>
  </si>
  <si>
    <t>H7299</t>
  </si>
  <si>
    <t xml:space="preserve">B8795 </t>
  </si>
  <si>
    <t>B8984</t>
  </si>
  <si>
    <t>15/08/2023</t>
  </si>
  <si>
    <t>B8957</t>
  </si>
  <si>
    <t>16/08/2023</t>
  </si>
  <si>
    <t>H7388</t>
  </si>
  <si>
    <t>Pool 19</t>
  </si>
  <si>
    <t>B8978</t>
  </si>
  <si>
    <t>H7363</t>
  </si>
  <si>
    <t>H7349</t>
  </si>
  <si>
    <t>Pool 12</t>
  </si>
  <si>
    <t>H7315</t>
  </si>
  <si>
    <t>B8974</t>
  </si>
  <si>
    <t>H7343</t>
  </si>
  <si>
    <t xml:space="preserve">B458** </t>
  </si>
  <si>
    <t>14/08/2023</t>
  </si>
  <si>
    <t>H7372</t>
  </si>
  <si>
    <t>H7376</t>
  </si>
  <si>
    <t>H7327</t>
  </si>
  <si>
    <t>B8976</t>
  </si>
  <si>
    <t>H7385</t>
  </si>
  <si>
    <t>20/08/2023</t>
  </si>
  <si>
    <t>B9167</t>
  </si>
  <si>
    <t>16/06/2023</t>
  </si>
  <si>
    <t>H7384</t>
  </si>
  <si>
    <t>H7387</t>
  </si>
  <si>
    <t>Pool 20</t>
  </si>
  <si>
    <t>B8971</t>
  </si>
  <si>
    <t>B9153</t>
  </si>
  <si>
    <t>B8977</t>
  </si>
  <si>
    <t>H7322</t>
  </si>
  <si>
    <t>B8965</t>
  </si>
  <si>
    <t>H7298</t>
  </si>
  <si>
    <t>H7329</t>
  </si>
  <si>
    <t>Pool 2</t>
  </si>
  <si>
    <t>B8949</t>
  </si>
  <si>
    <t>B8983</t>
  </si>
  <si>
    <t>B8963</t>
  </si>
  <si>
    <t>B9440</t>
  </si>
  <si>
    <t>H7320</t>
  </si>
  <si>
    <t>B8432</t>
  </si>
  <si>
    <t>H7340</t>
  </si>
  <si>
    <t>B8946</t>
  </si>
  <si>
    <t>H7452</t>
  </si>
  <si>
    <t>B9448</t>
  </si>
  <si>
    <t>H7332</t>
  </si>
  <si>
    <t>B8961</t>
  </si>
  <si>
    <t>H7354</t>
  </si>
  <si>
    <t>H7301</t>
  </si>
  <si>
    <t>H7333</t>
  </si>
  <si>
    <t>Pool 3</t>
  </si>
  <si>
    <t>H7352</t>
  </si>
  <si>
    <t>H7381</t>
  </si>
  <si>
    <t>B8948</t>
  </si>
  <si>
    <t>B8973</t>
  </si>
  <si>
    <t>H7356</t>
  </si>
  <si>
    <t>H7362</t>
  </si>
  <si>
    <t>B8942</t>
  </si>
  <si>
    <t>Pool 11</t>
  </si>
  <si>
    <t>B8959</t>
  </si>
  <si>
    <t>21/08/2023</t>
  </si>
  <si>
    <t>H7397</t>
  </si>
  <si>
    <t>Pool 21</t>
  </si>
  <si>
    <t>28/07/2023</t>
  </si>
  <si>
    <t>B8412</t>
  </si>
  <si>
    <t>H7297</t>
  </si>
  <si>
    <t>H7360</t>
  </si>
  <si>
    <t>H7337</t>
  </si>
  <si>
    <t>H7374</t>
  </si>
  <si>
    <t>29/07/2023</t>
  </si>
  <si>
    <t>H7265</t>
  </si>
  <si>
    <t>Pool 18</t>
  </si>
  <si>
    <t>H7357</t>
  </si>
  <si>
    <t>Pool 1</t>
  </si>
  <si>
    <t>B9456</t>
  </si>
  <si>
    <t>B9461</t>
  </si>
  <si>
    <t>B466</t>
  </si>
  <si>
    <t>B8980</t>
  </si>
  <si>
    <t>14/8/2023</t>
  </si>
  <si>
    <t>H7371</t>
  </si>
  <si>
    <t>B9444</t>
  </si>
  <si>
    <t>Pool 16</t>
  </si>
  <si>
    <t>H7324</t>
  </si>
  <si>
    <t>B9146</t>
  </si>
  <si>
    <t>B954</t>
  </si>
  <si>
    <t>H7351</t>
  </si>
  <si>
    <t>H7396</t>
  </si>
  <si>
    <t>H7366</t>
  </si>
  <si>
    <t>B9463</t>
  </si>
  <si>
    <t>Pool 15</t>
  </si>
  <si>
    <t>B449</t>
  </si>
  <si>
    <t>B9137</t>
  </si>
  <si>
    <t>H7365</t>
  </si>
  <si>
    <t>B9460</t>
  </si>
  <si>
    <t>Pool 13</t>
  </si>
  <si>
    <t>H7300</t>
  </si>
  <si>
    <t>B8945</t>
  </si>
  <si>
    <t>B947</t>
  </si>
  <si>
    <t>26/08/2023</t>
  </si>
  <si>
    <t xml:space="preserve">H7421 </t>
  </si>
  <si>
    <t>H7367</t>
  </si>
  <si>
    <t>B935</t>
  </si>
  <si>
    <t>Pool 14</t>
  </si>
  <si>
    <t>Aborted</t>
  </si>
  <si>
    <t>B8939</t>
  </si>
  <si>
    <t>28/08/2023</t>
  </si>
  <si>
    <t>H7261</t>
  </si>
  <si>
    <t>H7382</t>
  </si>
  <si>
    <t>B9183</t>
  </si>
  <si>
    <t>H7373</t>
  </si>
  <si>
    <t>H7325</t>
  </si>
  <si>
    <t>H7326</t>
  </si>
  <si>
    <t>H7419</t>
  </si>
  <si>
    <t>S</t>
  </si>
  <si>
    <t>20 UC</t>
  </si>
  <si>
    <t>02</t>
  </si>
  <si>
    <t>PH</t>
  </si>
  <si>
    <t>28/04/2024</t>
  </si>
  <si>
    <t>05</t>
  </si>
  <si>
    <t>Pool</t>
  </si>
  <si>
    <t>06</t>
  </si>
  <si>
    <t>07</t>
  </si>
  <si>
    <t>Heifer</t>
  </si>
  <si>
    <t>Not Calved</t>
  </si>
  <si>
    <t>Dead</t>
  </si>
  <si>
    <t>Sale calf</t>
  </si>
  <si>
    <t>326 (F)</t>
  </si>
  <si>
    <t>389F</t>
  </si>
  <si>
    <t>390F</t>
  </si>
  <si>
    <t>452H</t>
  </si>
  <si>
    <t>Brain</t>
  </si>
  <si>
    <t>409h</t>
  </si>
  <si>
    <t>491F</t>
  </si>
  <si>
    <t>551F</t>
  </si>
  <si>
    <t>5655/E1</t>
  </si>
  <si>
    <t>567F</t>
  </si>
  <si>
    <t>570F</t>
  </si>
  <si>
    <t>NM</t>
  </si>
  <si>
    <t xml:space="preserve">Due early August </t>
  </si>
  <si>
    <t>Bulk 26/08</t>
  </si>
  <si>
    <t>PINK</t>
  </si>
  <si>
    <t>Bulk 20/8</t>
  </si>
  <si>
    <t>Bulk 15/8</t>
  </si>
  <si>
    <t>Bulk 22/8</t>
  </si>
  <si>
    <t>Bulk 9/8/2024</t>
  </si>
  <si>
    <t>PD empty</t>
  </si>
  <si>
    <t>Bulk 17/08</t>
  </si>
  <si>
    <t>Bulk 1 13/8</t>
  </si>
  <si>
    <t>Bulk 28/8</t>
  </si>
  <si>
    <t>Bulk 07/08</t>
  </si>
  <si>
    <t>Bulk 10/8</t>
  </si>
  <si>
    <t>Bulk 8/8</t>
  </si>
  <si>
    <t>Bulk 21/8</t>
  </si>
  <si>
    <t>Bull Pens 3347</t>
  </si>
  <si>
    <t>Bulk 7/8</t>
  </si>
  <si>
    <t>Bulk 9/8</t>
  </si>
  <si>
    <t>Bulk 24/8</t>
  </si>
  <si>
    <t>Bulk 23/8</t>
  </si>
  <si>
    <t xml:space="preserve">PD empty / Milk Leaked in the bag </t>
  </si>
  <si>
    <t>HFR Bulk 17/8</t>
  </si>
  <si>
    <t>Bull Bulk 17/08</t>
  </si>
  <si>
    <t>Bulk 12/8</t>
  </si>
  <si>
    <t>Bulk 2 13/8</t>
  </si>
  <si>
    <t>Bulk 06/08</t>
  </si>
  <si>
    <t>Bulk 25/8</t>
  </si>
  <si>
    <t>NM-VAT</t>
  </si>
  <si>
    <t>VALUES</t>
  </si>
  <si>
    <t>GN</t>
  </si>
  <si>
    <t>WR</t>
  </si>
  <si>
    <t>SV</t>
  </si>
  <si>
    <t>TOTAL</t>
  </si>
  <si>
    <t>Notation</t>
  </si>
  <si>
    <t>Definition</t>
  </si>
  <si>
    <t>Number of eligible cows for insemination</t>
  </si>
  <si>
    <t>*</t>
  </si>
  <si>
    <t>ϴ</t>
  </si>
  <si>
    <t>Buying or selling rate of animals</t>
  </si>
  <si>
    <t>Derived from model</t>
  </si>
  <si>
    <t>Number of cows inseminated</t>
  </si>
  <si>
    <t>α</t>
  </si>
  <si>
    <t>Pregnancy rate</t>
  </si>
  <si>
    <t>Number of confirmed pregnancies (Total)</t>
  </si>
  <si>
    <t>p</t>
  </si>
  <si>
    <t>Probability that a new animal is infected</t>
  </si>
  <si>
    <t>Number of confirmed pregnancies (Uninfected)</t>
  </si>
  <si>
    <t>βS</t>
  </si>
  <si>
    <t>Abortion rate of susceptible</t>
  </si>
  <si>
    <t>Number of confirmed pregnancies (Infected)</t>
  </si>
  <si>
    <t>βI</t>
  </si>
  <si>
    <t>Abortion rate of infected animals</t>
  </si>
  <si>
    <t>Number of Abortions (Uninfected)</t>
  </si>
  <si>
    <t>ρh</t>
  </si>
  <si>
    <t>Horizontal infection rate</t>
  </si>
  <si>
    <t>Number of Abortions (Infected)</t>
  </si>
  <si>
    <t>ρv1</t>
  </si>
  <si>
    <t>Vertical transmission probability</t>
  </si>
  <si>
    <t xml:space="preserve">Number of infected calfs from uninfected dams </t>
  </si>
  <si>
    <t>ζ</t>
  </si>
  <si>
    <t>Prevalence dependent factor</t>
  </si>
  <si>
    <t>Total number of calfs from uninfected dams</t>
  </si>
  <si>
    <t>δ</t>
  </si>
  <si>
    <t>Mortality rate</t>
  </si>
  <si>
    <t>**</t>
  </si>
  <si>
    <t>Number of infected calfs from infected dams</t>
  </si>
  <si>
    <t>ϵ</t>
  </si>
  <si>
    <t>Removal rate</t>
  </si>
  <si>
    <t>Total number of calfs from infected dams</t>
  </si>
  <si>
    <t>σ</t>
  </si>
  <si>
    <t>External transmission coefficient</t>
  </si>
  <si>
    <t>0-0.07</t>
  </si>
  <si>
    <t>c</t>
  </si>
  <si>
    <t>Culling proportion</t>
  </si>
  <si>
    <t>Heat Detection Rate</t>
  </si>
  <si>
    <t>Sp</t>
  </si>
  <si>
    <t>Specificity of serological test</t>
  </si>
  <si>
    <t>Conception Rate</t>
  </si>
  <si>
    <t>Se</t>
  </si>
  <si>
    <t>Sensitivity of serological test</t>
  </si>
  <si>
    <t>PREGNANCY RATE</t>
  </si>
  <si>
    <t>ABORTION RATE (SUCEPTIBLE)</t>
  </si>
  <si>
    <t>ABORTION RATE (INFECTED)</t>
  </si>
  <si>
    <t>HORIZONTAL TRANSMISSION</t>
  </si>
  <si>
    <t xml:space="preserve">VERTICAL TRANSMISSION </t>
  </si>
  <si>
    <t>CALF</t>
  </si>
  <si>
    <t>DAM</t>
  </si>
  <si>
    <t>PPV</t>
  </si>
  <si>
    <t>Total</t>
  </si>
  <si>
    <t>NPV</t>
  </si>
  <si>
    <t>Uncorrected values</t>
  </si>
  <si>
    <t>VT</t>
  </si>
  <si>
    <t>HT</t>
  </si>
  <si>
    <t>Observed</t>
  </si>
  <si>
    <t>Corrected - imperfect test</t>
  </si>
  <si>
    <t>A</t>
  </si>
  <si>
    <t>B</t>
  </si>
  <si>
    <t>C</t>
  </si>
  <si>
    <t>D</t>
  </si>
  <si>
    <t>Correct. Freq.</t>
  </si>
  <si>
    <t>No need to apply a further correction for bias in HT because we sampled at birth</t>
  </si>
  <si>
    <t>Corrected - HT in calves from pos dam</t>
  </si>
  <si>
    <t>Adj.  value</t>
  </si>
  <si>
    <t>Corrected</t>
  </si>
  <si>
    <t>Adj. H infection in Dams</t>
  </si>
  <si>
    <t xml:space="preserve">Adj. </t>
  </si>
  <si>
    <t>Time (Year)</t>
  </si>
  <si>
    <t>Scenarios</t>
  </si>
  <si>
    <t>Do Nothing (A)</t>
  </si>
  <si>
    <t>Do Nothing (B)</t>
  </si>
  <si>
    <t>Test New Animals (A)</t>
  </si>
  <si>
    <t>Test New Animals (B)</t>
  </si>
  <si>
    <t>Test and Cull (A)</t>
  </si>
  <si>
    <t>Test and Cull (B)</t>
  </si>
  <si>
    <t>Prevalence (%)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</si>
</sst>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00"/>
  </numFmts>
  <fonts count="16">
    <font>
      <sz val="11"/>
      <color theme="1"/>
      <name val="Arial"/>
      <family val="2"/>
    </font>
    <font>
      <b/>
      <sz val="12"/>
      <color theme="1"/>
      <name val="Times New Roman"/>
      <family val="1"/>
    </font>
    <font>
      <sz val="11"/>
      <color theme="1"/>
      <name val="Aptos Narrow"/>
      <family val="2"/>
      <scheme val="minor"/>
    </font>
    <font>
      <b/>
      <sz val="14"/>
      <color theme="1"/>
      <name val="Arial"/>
      <family val="2"/>
    </font>
    <font>
      <b/>
      <sz val="11"/>
      <color theme="0"/>
      <name val="Arial"/>
      <family val="2"/>
    </font>
    <font>
      <sz val="11"/>
      <color theme="0"/>
      <name val="Arial"/>
      <family val="2"/>
    </font>
    <font>
      <sz val="8"/>
      <name val="Arial"/>
      <family val="2"/>
    </font>
    <font>
      <sz val="11"/>
      <color theme="1"/>
      <name val="Arial"/>
      <family val="2"/>
    </font>
    <font>
      <sz val="11"/>
      <color theme="1"/>
      <name val="Aptos Narrow"/>
      <scheme val="minor"/>
    </font>
    <font>
      <b/>
      <i/>
      <sz val="11"/>
      <color theme="0"/>
      <name val="Arial"/>
      <family val="2"/>
    </font>
    <font>
      <sz val="11"/>
      <name val="Arial"/>
      <family val="2"/>
    </font>
    <font>
      <sz val="11"/>
      <color rgb="FF000000"/>
      <name val="Arial"/>
      <family val="2"/>
    </font>
    <font>
      <b/>
      <sz val="11"/>
      <color theme="1"/>
      <name val="Arial"/>
      <family val="2"/>
    </font>
    <font>
      <b/>
      <sz val="11"/>
      <color rgb="FF000000"/>
      <name val="Times New Roman"/>
      <family val="1"/>
    </font>
    <font>
      <sz val="11"/>
      <color rgb="FF000000"/>
      <name val="Times New Roman"/>
      <family val="1"/>
    </font>
    <font>
      <sz val="11"/>
      <color theme="1"/>
      <name val="Times New Roman"/>
      <family val="1"/>
    </font>
  </fonts>
  <fills count="1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theme="0"/>
      </patternFill>
    </fill>
    <fill>
      <patternFill patternType="solid">
        <fgColor theme="1"/>
        <bgColor indexed="64"/>
      </patternFill>
    </fill>
    <fill>
      <patternFill patternType="solid">
        <fgColor theme="3" tint="0.249977111117893"/>
        <bgColor theme="0"/>
      </patternFill>
    </fill>
    <fill>
      <patternFill patternType="solid">
        <fgColor rgb="FF00B050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 tint="0.89999084444715716"/>
        <bgColor indexed="64"/>
      </patternFill>
    </fill>
  </fills>
  <borders count="2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000000"/>
      </right>
      <top style="thin">
        <color indexed="64"/>
      </top>
      <bottom/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rgb="FF7F7F7F"/>
      </bottom>
      <diagonal/>
    </border>
    <border>
      <left/>
      <right/>
      <top style="thin">
        <color indexed="64"/>
      </top>
      <bottom style="medium">
        <color rgb="FF7F7F7F"/>
      </bottom>
      <diagonal/>
    </border>
    <border>
      <left/>
      <right style="thin">
        <color indexed="64"/>
      </right>
      <top style="thin">
        <color indexed="64"/>
      </top>
      <bottom style="medium">
        <color rgb="FF7F7F7F"/>
      </bottom>
      <diagonal/>
    </border>
    <border>
      <left style="thin">
        <color indexed="64"/>
      </left>
      <right style="medium">
        <color rgb="FF7F7F7F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medium">
        <color rgb="FF7F7F7F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2" fillId="0" borderId="0"/>
    <xf numFmtId="0" fontId="8" fillId="0" borderId="0"/>
    <xf numFmtId="9" fontId="7" fillId="0" borderId="0" applyFont="0" applyFill="0" applyBorder="0" applyAlignment="0" applyProtection="0"/>
  </cellStyleXfs>
  <cellXfs count="177">
    <xf numFmtId="0" fontId="0" fillId="0" borderId="0" xfId="0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0" fontId="0" fillId="3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3" fillId="0" borderId="4" xfId="0" applyFont="1" applyBorder="1"/>
    <xf numFmtId="0" fontId="0" fillId="4" borderId="1" xfId="0" applyFill="1" applyBorder="1" applyAlignment="1">
      <alignment horizontal="center"/>
    </xf>
    <xf numFmtId="0" fontId="4" fillId="5" borderId="2" xfId="0" applyFont="1" applyFill="1" applyBorder="1" applyAlignment="1">
      <alignment horizontal="center" vertical="center"/>
    </xf>
    <xf numFmtId="0" fontId="4" fillId="5" borderId="1" xfId="0" applyFont="1" applyFill="1" applyBorder="1"/>
    <xf numFmtId="0" fontId="5" fillId="5" borderId="1" xfId="0" applyFont="1" applyFill="1" applyBorder="1"/>
    <xf numFmtId="0" fontId="5" fillId="5" borderId="1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5" fillId="5" borderId="2" xfId="0" applyFont="1" applyFill="1" applyBorder="1" applyAlignment="1">
      <alignment horizontal="center" vertical="center"/>
    </xf>
    <xf numFmtId="0" fontId="4" fillId="5" borderId="3" xfId="1" applyFont="1" applyFill="1" applyBorder="1" applyAlignment="1">
      <alignment horizontal="center"/>
    </xf>
    <xf numFmtId="0" fontId="4" fillId="9" borderId="3" xfId="2" applyFont="1" applyFill="1" applyBorder="1" applyAlignment="1">
      <alignment horizontal="center"/>
    </xf>
    <xf numFmtId="0" fontId="9" fillId="9" borderId="3" xfId="2" applyFont="1" applyFill="1" applyBorder="1" applyAlignment="1">
      <alignment horizontal="center"/>
    </xf>
    <xf numFmtId="0" fontId="4" fillId="8" borderId="1" xfId="0" applyFont="1" applyFill="1" applyBorder="1" applyAlignment="1">
      <alignment horizontal="center"/>
    </xf>
    <xf numFmtId="0" fontId="5" fillId="8" borderId="1" xfId="0" applyFont="1" applyFill="1" applyBorder="1" applyAlignment="1">
      <alignment horizontal="center"/>
    </xf>
    <xf numFmtId="0" fontId="0" fillId="8" borderId="0" xfId="0" applyFill="1" applyAlignment="1">
      <alignment horizontal="center"/>
    </xf>
    <xf numFmtId="0" fontId="4" fillId="9" borderId="7" xfId="2" applyFont="1" applyFill="1" applyBorder="1" applyAlignment="1">
      <alignment horizontal="center" vertical="center"/>
    </xf>
    <xf numFmtId="0" fontId="4" fillId="5" borderId="3" xfId="2" applyFont="1" applyFill="1" applyBorder="1" applyAlignment="1">
      <alignment horizontal="center"/>
    </xf>
    <xf numFmtId="0" fontId="4" fillId="5" borderId="6" xfId="2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14" fontId="0" fillId="0" borderId="1" xfId="1" applyNumberFormat="1" applyFont="1" applyBorder="1" applyAlignment="1">
      <alignment horizontal="center" vertical="center"/>
    </xf>
    <xf numFmtId="0" fontId="0" fillId="0" borderId="1" xfId="1" applyFont="1" applyBorder="1" applyAlignment="1">
      <alignment horizontal="center" vertical="center"/>
    </xf>
    <xf numFmtId="0" fontId="0" fillId="0" borderId="1" xfId="2" quotePrefix="1" applyFont="1" applyBorder="1" applyAlignment="1">
      <alignment horizontal="center" vertical="top"/>
    </xf>
    <xf numFmtId="0" fontId="0" fillId="0" borderId="1" xfId="2" applyFont="1" applyBorder="1" applyAlignment="1">
      <alignment horizontal="center"/>
    </xf>
    <xf numFmtId="14" fontId="0" fillId="0" borderId="1" xfId="2" applyNumberFormat="1" applyFont="1" applyBorder="1" applyAlignment="1">
      <alignment horizontal="center"/>
    </xf>
    <xf numFmtId="0" fontId="0" fillId="0" borderId="1" xfId="2" applyFont="1" applyBorder="1"/>
    <xf numFmtId="0" fontId="0" fillId="0" borderId="1" xfId="2" applyFont="1" applyBorder="1" applyAlignment="1">
      <alignment horizontal="center" vertical="top"/>
    </xf>
    <xf numFmtId="0" fontId="5" fillId="5" borderId="1" xfId="2" quotePrefix="1" applyFont="1" applyFill="1" applyBorder="1" applyAlignment="1">
      <alignment horizontal="center" vertical="top"/>
    </xf>
    <xf numFmtId="0" fontId="5" fillId="5" borderId="1" xfId="2" applyFont="1" applyFill="1" applyBorder="1" applyAlignment="1">
      <alignment horizontal="center" vertical="top"/>
    </xf>
    <xf numFmtId="0" fontId="4" fillId="5" borderId="1" xfId="2" quotePrefix="1" applyFont="1" applyFill="1" applyBorder="1" applyAlignment="1">
      <alignment horizontal="center" vertical="top"/>
    </xf>
    <xf numFmtId="0" fontId="4" fillId="5" borderId="1" xfId="2" applyFont="1" applyFill="1" applyBorder="1" applyAlignment="1">
      <alignment horizontal="center" vertical="top"/>
    </xf>
    <xf numFmtId="0" fontId="4" fillId="5" borderId="1" xfId="2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/>
    </xf>
    <xf numFmtId="14" fontId="4" fillId="5" borderId="1" xfId="2" applyNumberFormat="1" applyFont="1" applyFill="1" applyBorder="1" applyAlignment="1">
      <alignment horizontal="center"/>
    </xf>
    <xf numFmtId="0" fontId="5" fillId="5" borderId="1" xfId="2" applyFont="1" applyFill="1" applyBorder="1" applyAlignment="1">
      <alignment horizontal="center" vertical="center"/>
    </xf>
    <xf numFmtId="0" fontId="11" fillId="0" borderId="1" xfId="2" applyFont="1" applyBorder="1" applyAlignment="1">
      <alignment horizontal="center"/>
    </xf>
    <xf numFmtId="0" fontId="5" fillId="5" borderId="1" xfId="2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12" fillId="2" borderId="1" xfId="0" applyFont="1" applyFill="1" applyBorder="1" applyAlignment="1">
      <alignment horizontal="center"/>
    </xf>
    <xf numFmtId="0" fontId="0" fillId="2" borderId="1" xfId="0" applyFill="1" applyBorder="1"/>
    <xf numFmtId="0" fontId="12" fillId="2" borderId="1" xfId="0" applyFont="1" applyFill="1" applyBorder="1"/>
    <xf numFmtId="0" fontId="0" fillId="10" borderId="0" xfId="0" applyFill="1"/>
    <xf numFmtId="2" fontId="0" fillId="0" borderId="1" xfId="3" applyNumberFormat="1" applyFont="1" applyBorder="1" applyAlignment="1">
      <alignment horizontal="center"/>
    </xf>
    <xf numFmtId="2" fontId="0" fillId="2" borderId="1" xfId="3" applyNumberFormat="1" applyFont="1" applyFill="1" applyBorder="1" applyAlignment="1">
      <alignment horizontal="center"/>
    </xf>
    <xf numFmtId="9" fontId="0" fillId="0" borderId="1" xfId="3" applyFont="1" applyBorder="1" applyAlignment="1">
      <alignment horizontal="center"/>
    </xf>
    <xf numFmtId="9" fontId="0" fillId="2" borderId="1" xfId="3" applyFont="1" applyFill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4" xfId="0" applyBorder="1" applyAlignment="1">
      <alignment horizontal="center"/>
    </xf>
    <xf numFmtId="0" fontId="11" fillId="0" borderId="4" xfId="0" applyFont="1" applyBorder="1" applyAlignment="1">
      <alignment horizontal="center"/>
    </xf>
    <xf numFmtId="14" fontId="0" fillId="0" borderId="4" xfId="2" applyNumberFormat="1" applyFont="1" applyBorder="1" applyAlignment="1">
      <alignment horizontal="center"/>
    </xf>
    <xf numFmtId="0" fontId="11" fillId="0" borderId="4" xfId="2" applyFont="1" applyBorder="1" applyAlignment="1">
      <alignment horizontal="center"/>
    </xf>
    <xf numFmtId="9" fontId="0" fillId="0" borderId="0" xfId="3" applyFont="1"/>
    <xf numFmtId="0" fontId="0" fillId="13" borderId="1" xfId="0" applyFill="1" applyBorder="1" applyAlignment="1">
      <alignment horizontal="center"/>
    </xf>
    <xf numFmtId="0" fontId="0" fillId="12" borderId="1" xfId="0" applyFill="1" applyBorder="1" applyAlignment="1">
      <alignment horizontal="center"/>
    </xf>
    <xf numFmtId="0" fontId="0" fillId="4" borderId="1" xfId="0" applyFill="1" applyBorder="1"/>
    <xf numFmtId="0" fontId="0" fillId="14" borderId="1" xfId="0" applyFill="1" applyBorder="1" applyAlignment="1">
      <alignment horizontal="center"/>
    </xf>
    <xf numFmtId="0" fontId="0" fillId="15" borderId="1" xfId="0" applyFill="1" applyBorder="1" applyAlignment="1">
      <alignment horizontal="center"/>
    </xf>
    <xf numFmtId="1" fontId="0" fillId="16" borderId="1" xfId="0" applyNumberFormat="1" applyFill="1" applyBorder="1" applyAlignment="1">
      <alignment horizontal="center"/>
    </xf>
    <xf numFmtId="0" fontId="0" fillId="16" borderId="1" xfId="0" applyFill="1" applyBorder="1" applyAlignment="1">
      <alignment horizontal="center"/>
    </xf>
    <xf numFmtId="0" fontId="0" fillId="17" borderId="0" xfId="0" applyFill="1"/>
    <xf numFmtId="0" fontId="0" fillId="12" borderId="1" xfId="0" applyFill="1" applyBorder="1"/>
    <xf numFmtId="2" fontId="0" fillId="12" borderId="1" xfId="3" applyNumberFormat="1" applyFont="1" applyFill="1" applyBorder="1"/>
    <xf numFmtId="1" fontId="0" fillId="0" borderId="1" xfId="0" applyNumberFormat="1" applyBorder="1" applyAlignment="1">
      <alignment horizontal="center"/>
    </xf>
    <xf numFmtId="1" fontId="0" fillId="4" borderId="1" xfId="0" applyNumberFormat="1" applyFill="1" applyBorder="1" applyAlignment="1">
      <alignment horizontal="center"/>
    </xf>
    <xf numFmtId="165" fontId="0" fillId="0" borderId="0" xfId="0" applyNumberFormat="1"/>
    <xf numFmtId="9" fontId="0" fillId="0" borderId="0" xfId="0" applyNumberFormat="1"/>
    <xf numFmtId="0" fontId="13" fillId="0" borderId="18" xfId="0" applyFont="1" applyBorder="1" applyAlignment="1">
      <alignment horizontal="center" vertical="center"/>
    </xf>
    <xf numFmtId="0" fontId="13" fillId="0" borderId="19" xfId="0" applyFont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13" fillId="11" borderId="21" xfId="0" applyFont="1" applyFill="1" applyBorder="1" applyAlignment="1">
      <alignment horizontal="center" vertical="center"/>
    </xf>
    <xf numFmtId="0" fontId="14" fillId="11" borderId="0" xfId="0" applyFont="1" applyFill="1" applyAlignment="1">
      <alignment horizontal="center" vertical="center"/>
    </xf>
    <xf numFmtId="0" fontId="14" fillId="11" borderId="22" xfId="0" applyFont="1" applyFill="1" applyBorder="1" applyAlignment="1">
      <alignment horizontal="center" vertical="center"/>
    </xf>
    <xf numFmtId="0" fontId="13" fillId="0" borderId="21" xfId="0" applyFont="1" applyBorder="1" applyAlignment="1">
      <alignment horizontal="center" vertical="center"/>
    </xf>
    <xf numFmtId="0" fontId="14" fillId="0" borderId="0" xfId="0" applyFont="1" applyAlignment="1">
      <alignment horizontal="center" vertical="center"/>
    </xf>
    <xf numFmtId="2" fontId="14" fillId="0" borderId="22" xfId="0" applyNumberFormat="1" applyFont="1" applyBorder="1" applyAlignment="1">
      <alignment horizontal="center" vertical="center"/>
    </xf>
    <xf numFmtId="2" fontId="14" fillId="11" borderId="22" xfId="0" applyNumberFormat="1" applyFont="1" applyFill="1" applyBorder="1" applyAlignment="1">
      <alignment horizontal="center" vertical="center"/>
    </xf>
    <xf numFmtId="2" fontId="14" fillId="0" borderId="22" xfId="3" applyNumberFormat="1" applyFont="1" applyBorder="1" applyAlignment="1">
      <alignment horizontal="center" vertical="center"/>
    </xf>
    <xf numFmtId="165" fontId="14" fillId="0" borderId="22" xfId="0" applyNumberFormat="1" applyFont="1" applyBorder="1" applyAlignment="1">
      <alignment horizontal="center" vertical="center"/>
    </xf>
    <xf numFmtId="165" fontId="14" fillId="11" borderId="22" xfId="0" applyNumberFormat="1" applyFont="1" applyFill="1" applyBorder="1" applyAlignment="1">
      <alignment horizontal="center" vertical="center"/>
    </xf>
    <xf numFmtId="0" fontId="13" fillId="0" borderId="23" xfId="0" applyFont="1" applyBorder="1" applyAlignment="1">
      <alignment horizontal="center" vertical="center"/>
    </xf>
    <xf numFmtId="0" fontId="14" fillId="0" borderId="24" xfId="0" applyFont="1" applyBorder="1" applyAlignment="1">
      <alignment horizontal="center" vertical="center"/>
    </xf>
    <xf numFmtId="165" fontId="14" fillId="0" borderId="14" xfId="0" applyNumberFormat="1" applyFont="1" applyBorder="1" applyAlignment="1">
      <alignment horizontal="center" vertical="center"/>
    </xf>
    <xf numFmtId="2" fontId="15" fillId="11" borderId="22" xfId="0" applyNumberFormat="1" applyFont="1" applyFill="1" applyBorder="1" applyAlignment="1">
      <alignment horizontal="center" vertical="center"/>
    </xf>
    <xf numFmtId="164" fontId="0" fillId="0" borderId="1" xfId="0" applyNumberFormat="1" applyBorder="1" applyAlignment="1">
      <alignment horizontal="center" vertical="center"/>
    </xf>
    <xf numFmtId="0" fontId="12" fillId="0" borderId="1" xfId="0" applyFont="1" applyBorder="1" applyAlignment="1">
      <alignment horizontal="center" vertical="center"/>
    </xf>
    <xf numFmtId="0" fontId="12" fillId="0" borderId="9" xfId="0" applyFont="1" applyBorder="1" applyAlignment="1">
      <alignment horizontal="center" vertical="center"/>
    </xf>
    <xf numFmtId="0" fontId="0" fillId="0" borderId="25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24" xfId="0" applyBorder="1" applyAlignment="1">
      <alignment horizontal="center"/>
    </xf>
    <xf numFmtId="0" fontId="0" fillId="0" borderId="14" xfId="0" applyBorder="1" applyAlignment="1">
      <alignment horizontal="center"/>
    </xf>
    <xf numFmtId="1" fontId="0" fillId="2" borderId="1" xfId="0" applyNumberFormat="1" applyFill="1" applyBorder="1" applyAlignment="1">
      <alignment horizontal="center"/>
    </xf>
    <xf numFmtId="165" fontId="0" fillId="12" borderId="1" xfId="3" applyNumberFormat="1" applyFont="1" applyFill="1" applyBorder="1"/>
    <xf numFmtId="0" fontId="4" fillId="5" borderId="10" xfId="0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14" fontId="0" fillId="0" borderId="11" xfId="2" applyNumberFormat="1" applyFont="1" applyBorder="1" applyAlignment="1">
      <alignment horizontal="center"/>
    </xf>
    <xf numFmtId="0" fontId="0" fillId="0" borderId="11" xfId="2" applyFont="1" applyBorder="1" applyAlignment="1">
      <alignment horizontal="center"/>
    </xf>
    <xf numFmtId="0" fontId="4" fillId="5" borderId="3" xfId="0" applyFont="1" applyFill="1" applyBorder="1" applyAlignment="1">
      <alignment horizontal="center"/>
    </xf>
    <xf numFmtId="0" fontId="4" fillId="5" borderId="1" xfId="1" applyFont="1" applyFill="1" applyBorder="1" applyAlignment="1">
      <alignment horizontal="center"/>
    </xf>
    <xf numFmtId="0" fontId="1" fillId="6" borderId="0" xfId="0" applyFont="1" applyFill="1" applyAlignment="1">
      <alignment horizontal="center" vertical="center"/>
    </xf>
    <xf numFmtId="14" fontId="0" fillId="0" borderId="11" xfId="2" applyNumberFormat="1" applyFont="1" applyBorder="1" applyAlignment="1">
      <alignment horizontal="center" vertical="center"/>
    </xf>
    <xf numFmtId="14" fontId="0" fillId="0" borderId="11" xfId="0" applyNumberFormat="1" applyBorder="1" applyAlignment="1">
      <alignment horizontal="center"/>
    </xf>
    <xf numFmtId="14" fontId="0" fillId="0" borderId="1" xfId="0" applyNumberFormat="1" applyBorder="1" applyAlignment="1">
      <alignment horizontal="center"/>
    </xf>
    <xf numFmtId="0" fontId="0" fillId="0" borderId="2" xfId="0" applyBorder="1" applyAlignment="1">
      <alignment horizontal="center"/>
    </xf>
    <xf numFmtId="0" fontId="0" fillId="8" borderId="1" xfId="0" applyFill="1" applyBorder="1" applyAlignment="1">
      <alignment horizontal="center"/>
    </xf>
    <xf numFmtId="0" fontId="0" fillId="8" borderId="4" xfId="0" applyFill="1" applyBorder="1" applyAlignment="1">
      <alignment horizontal="center"/>
    </xf>
    <xf numFmtId="14" fontId="0" fillId="8" borderId="11" xfId="0" applyNumberFormat="1" applyFill="1" applyBorder="1" applyAlignment="1">
      <alignment horizontal="center"/>
    </xf>
    <xf numFmtId="0" fontId="0" fillId="8" borderId="11" xfId="0" applyFill="1" applyBorder="1" applyAlignment="1">
      <alignment horizontal="center"/>
    </xf>
    <xf numFmtId="0" fontId="0" fillId="8" borderId="1" xfId="0" applyFill="1" applyBorder="1" applyAlignment="1">
      <alignment horizontal="center" vertical="center"/>
    </xf>
    <xf numFmtId="0" fontId="0" fillId="0" borderId="1" xfId="0" applyBorder="1"/>
    <xf numFmtId="14" fontId="0" fillId="0" borderId="1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8" borderId="1" xfId="0" applyNumberFormat="1" applyFill="1" applyBorder="1" applyAlignment="1">
      <alignment horizontal="center" vertical="center"/>
    </xf>
    <xf numFmtId="14" fontId="0" fillId="0" borderId="15" xfId="2" applyNumberFormat="1" applyFont="1" applyBorder="1" applyAlignment="1">
      <alignment horizontal="center"/>
    </xf>
    <xf numFmtId="0" fontId="0" fillId="0" borderId="2" xfId="0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14" fontId="0" fillId="0" borderId="16" xfId="2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9" borderId="3" xfId="2" applyFont="1" applyFill="1" applyBorder="1" applyAlignment="1">
      <alignment horizontal="center" vertical="center"/>
    </xf>
    <xf numFmtId="0" fontId="0" fillId="0" borderId="11" xfId="0" applyBorder="1"/>
    <xf numFmtId="0" fontId="0" fillId="0" borderId="4" xfId="2" applyFont="1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6" xfId="0" applyNumberFormat="1" applyBorder="1" applyAlignment="1">
      <alignment horizontal="center"/>
    </xf>
    <xf numFmtId="14" fontId="0" fillId="0" borderId="10" xfId="2" applyNumberFormat="1" applyFont="1" applyBorder="1" applyAlignment="1">
      <alignment horizontal="center" vertical="center"/>
    </xf>
    <xf numFmtId="14" fontId="0" fillId="0" borderId="14" xfId="2" applyNumberFormat="1" applyFont="1" applyBorder="1" applyAlignment="1">
      <alignment horizontal="center" vertical="center"/>
    </xf>
    <xf numFmtId="0" fontId="0" fillId="8" borderId="1" xfId="2" applyFont="1" applyFill="1" applyBorder="1" applyAlignment="1">
      <alignment horizontal="center"/>
    </xf>
    <xf numFmtId="0" fontId="0" fillId="0" borderId="3" xfId="0" applyBorder="1"/>
    <xf numFmtId="0" fontId="5" fillId="5" borderId="1" xfId="1" applyFont="1" applyFill="1" applyBorder="1" applyAlignment="1">
      <alignment horizontal="center"/>
    </xf>
    <xf numFmtId="14" fontId="0" fillId="7" borderId="1" xfId="2" applyNumberFormat="1" applyFont="1" applyFill="1" applyBorder="1" applyAlignment="1">
      <alignment horizontal="center" vertical="center"/>
    </xf>
    <xf numFmtId="164" fontId="0" fillId="7" borderId="1" xfId="2" applyNumberFormat="1" applyFont="1" applyFill="1" applyBorder="1" applyAlignment="1">
      <alignment horizontal="center" vertical="center"/>
    </xf>
    <xf numFmtId="0" fontId="5" fillId="5" borderId="1" xfId="0" applyFont="1" applyFill="1" applyBorder="1" applyAlignment="1">
      <alignment horizontal="center" vertical="center"/>
    </xf>
    <xf numFmtId="0" fontId="0" fillId="0" borderId="1" xfId="2" applyFont="1" applyBorder="1" applyAlignment="1">
      <alignment horizontal="center" vertical="center"/>
    </xf>
    <xf numFmtId="0" fontId="0" fillId="0" borderId="10" xfId="2" applyFont="1" applyBorder="1" applyAlignment="1">
      <alignment horizontal="center" vertical="center"/>
    </xf>
    <xf numFmtId="0" fontId="0" fillId="0" borderId="14" xfId="2" applyFont="1" applyBorder="1" applyAlignment="1">
      <alignment horizontal="center" vertical="center"/>
    </xf>
    <xf numFmtId="0" fontId="4" fillId="5" borderId="2" xfId="2" applyFont="1" applyFill="1" applyBorder="1" applyAlignment="1">
      <alignment horizontal="center" vertical="center"/>
    </xf>
    <xf numFmtId="0" fontId="4" fillId="5" borderId="9" xfId="2" applyFont="1" applyFill="1" applyBorder="1" applyAlignment="1">
      <alignment horizontal="center" vertical="center"/>
    </xf>
    <xf numFmtId="0" fontId="5" fillId="5" borderId="2" xfId="2" applyFont="1" applyFill="1" applyBorder="1" applyAlignment="1">
      <alignment horizontal="center" vertical="center"/>
    </xf>
    <xf numFmtId="0" fontId="5" fillId="5" borderId="9" xfId="2" applyFont="1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11" fillId="0" borderId="2" xfId="2" applyFont="1" applyBorder="1" applyAlignment="1">
      <alignment horizontal="center" vertical="center"/>
    </xf>
    <xf numFmtId="0" fontId="11" fillId="0" borderId="9" xfId="2" applyFont="1" applyBorder="1" applyAlignment="1">
      <alignment horizontal="center" vertical="center"/>
    </xf>
    <xf numFmtId="0" fontId="0" fillId="0" borderId="5" xfId="2" applyFont="1" applyBorder="1" applyAlignment="1">
      <alignment horizontal="center" vertical="center"/>
    </xf>
    <xf numFmtId="0" fontId="0" fillId="0" borderId="17" xfId="2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4" fillId="5" borderId="1" xfId="2" applyFont="1" applyFill="1" applyBorder="1" applyAlignment="1">
      <alignment horizontal="center" vertical="center"/>
    </xf>
    <xf numFmtId="0" fontId="0" fillId="3" borderId="1" xfId="2" applyFont="1" applyFill="1" applyBorder="1" applyAlignment="1">
      <alignment horizontal="center" vertical="center"/>
    </xf>
    <xf numFmtId="14" fontId="0" fillId="0" borderId="4" xfId="2" applyNumberFormat="1" applyFont="1" applyBorder="1" applyAlignment="1">
      <alignment horizontal="center" vertical="center"/>
    </xf>
    <xf numFmtId="14" fontId="0" fillId="0" borderId="16" xfId="2" applyNumberFormat="1" applyFont="1" applyBorder="1" applyAlignment="1">
      <alignment horizontal="center" vertical="center"/>
    </xf>
    <xf numFmtId="14" fontId="0" fillId="0" borderId="1" xfId="2" applyNumberFormat="1" applyFont="1" applyBorder="1" applyAlignment="1">
      <alignment horizontal="center"/>
    </xf>
    <xf numFmtId="14" fontId="0" fillId="0" borderId="13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2" xfId="0" applyFill="1" applyBorder="1" applyAlignment="1">
      <alignment horizontal="center" vertical="center"/>
    </xf>
    <xf numFmtId="0" fontId="4" fillId="9" borderId="7" xfId="2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 vertical="center"/>
    </xf>
    <xf numFmtId="0" fontId="4" fillId="5" borderId="2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5" borderId="17" xfId="0" applyFont="1" applyFill="1" applyBorder="1" applyAlignment="1">
      <alignment horizontal="center" vertical="center"/>
    </xf>
    <xf numFmtId="0" fontId="4" fillId="5" borderId="14" xfId="0" applyFont="1" applyFill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  <xf numFmtId="0" fontId="0" fillId="0" borderId="8" xfId="0" applyBorder="1" applyAlignment="1">
      <alignment horizontal="center"/>
    </xf>
    <xf numFmtId="0" fontId="0" fillId="12" borderId="1" xfId="0" applyFill="1" applyBorder="1" applyAlignment="1">
      <alignment horizontal="center" vertical="center"/>
    </xf>
    <xf numFmtId="0" fontId="0" fillId="13" borderId="1" xfId="0" applyFill="1" applyBorder="1" applyAlignment="1">
      <alignment horizontal="center"/>
    </xf>
    <xf numFmtId="0" fontId="0" fillId="15" borderId="1" xfId="0" applyFill="1" applyBorder="1" applyAlignment="1">
      <alignment horizontal="center" vertical="center"/>
    </xf>
    <xf numFmtId="0" fontId="0" fillId="14" borderId="1" xfId="0" applyFill="1" applyBorder="1" applyAlignment="1">
      <alignment horizontal="center"/>
    </xf>
    <xf numFmtId="0" fontId="12" fillId="0" borderId="1" xfId="0" applyFont="1" applyBorder="1" applyAlignment="1">
      <alignment horizontal="center"/>
    </xf>
    <xf numFmtId="0" fontId="12" fillId="0" borderId="1" xfId="0" applyFont="1" applyBorder="1" applyAlignment="1">
      <alignment horizontal="center" vertical="center"/>
    </xf>
  </cellXfs>
  <cellStyles count="4">
    <cellStyle name="Normal" xfId="0" builtinId="0"/>
    <cellStyle name="Normal 2" xfId="1" xr:uid="{B42F1E8D-CACF-4B10-8E79-D34F113A91AD}"/>
    <cellStyle name="Normal 3" xfId="2" xr:uid="{21F96B65-6F23-44FA-B124-1CCC951F3443}"/>
    <cellStyle name="Percent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A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AU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Do Nothing (A)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Sheet1!$B$4:$B$8</c:f>
              <c:numCache>
                <c:formatCode>0.0</c:formatCode>
                <c:ptCount val="5"/>
                <c:pt idx="0">
                  <c:v>32</c:v>
                </c:pt>
                <c:pt idx="1">
                  <c:v>28.82</c:v>
                </c:pt>
                <c:pt idx="2">
                  <c:v>28.22</c:v>
                </c:pt>
                <c:pt idx="3">
                  <c:v>28.01</c:v>
                </c:pt>
                <c:pt idx="4">
                  <c:v>27.95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5D3-4C56-A1F5-EA8390442354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  <c:pt idx="0">
                  <c:v>Do Nothing (B)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Sheet1!$C$4:$C$8</c:f>
              <c:numCache>
                <c:formatCode>0.0</c:formatCode>
                <c:ptCount val="5"/>
                <c:pt idx="0">
                  <c:v>32</c:v>
                </c:pt>
                <c:pt idx="1">
                  <c:v>17.84</c:v>
                </c:pt>
                <c:pt idx="2">
                  <c:v>11.72</c:v>
                </c:pt>
                <c:pt idx="3">
                  <c:v>9.4</c:v>
                </c:pt>
                <c:pt idx="4">
                  <c:v>8.5299999999999994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5D3-4C56-A1F5-EA8390442354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  <c:pt idx="0">
                  <c:v>Test New Animals (A)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Sheet1!$D$4:$D$8</c:f>
              <c:numCache>
                <c:formatCode>0.0</c:formatCode>
                <c:ptCount val="5"/>
                <c:pt idx="0">
                  <c:v>32</c:v>
                </c:pt>
                <c:pt idx="1">
                  <c:v>26.12</c:v>
                </c:pt>
                <c:pt idx="2">
                  <c:v>23.78</c:v>
                </c:pt>
                <c:pt idx="3">
                  <c:v>22.59</c:v>
                </c:pt>
                <c:pt idx="4">
                  <c:v>21.88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5D3-4C56-A1F5-EA8390442354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  <c:pt idx="0">
                  <c:v>Test New Animals (B)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Sheet1!$E$4:$E$8</c:f>
              <c:numCache>
                <c:formatCode>0.0</c:formatCode>
                <c:ptCount val="5"/>
                <c:pt idx="0">
                  <c:v>32</c:v>
                </c:pt>
                <c:pt idx="1">
                  <c:v>17.7</c:v>
                </c:pt>
                <c:pt idx="2">
                  <c:v>11.7</c:v>
                </c:pt>
                <c:pt idx="3">
                  <c:v>6.9</c:v>
                </c:pt>
                <c:pt idx="4">
                  <c:v>5.9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45D3-4C56-A1F5-EA8390442354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  <c:pt idx="0">
                  <c:v>Test and Cull (A)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Sheet1!$F$4:$F$8</c:f>
              <c:numCache>
                <c:formatCode>0.0</c:formatCode>
                <c:ptCount val="5"/>
                <c:pt idx="0">
                  <c:v>32</c:v>
                </c:pt>
                <c:pt idx="1">
                  <c:v>11</c:v>
                </c:pt>
                <c:pt idx="2">
                  <c:v>6.25</c:v>
                </c:pt>
                <c:pt idx="3">
                  <c:v>5.27</c:v>
                </c:pt>
                <c:pt idx="4">
                  <c:v>5.13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45D3-4C56-A1F5-EA8390442354}"/>
            </c:ext>
          </c:extLst>
        </c:ser>
        <c:ser>
          <c:idx val="5"/>
          <c:order val="5"/>
          <c:tx>
            <c:strRef>
              <c:f>Sheet1!$G$2</c:f>
              <c:strCache>
                <c:ptCount val="1"/>
                <c:pt idx="0">
                  <c:v>Test and Cull (B)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f>Sheet1!$A$4:$A$8</c:f>
              <c:numCache>
                <c:formatCode>General</c:formatCode>
                <c:ptCount val="5"/>
                <c:pt idx="0">
                  <c:v>0</c:v>
                </c:pt>
                <c:pt idx="1">
                  <c:v>2.5</c:v>
                </c:pt>
                <c:pt idx="2">
                  <c:v>5</c:v>
                </c:pt>
                <c:pt idx="3">
                  <c:v>7.5</c:v>
                </c:pt>
                <c:pt idx="4">
                  <c:v>10</c:v>
                </c:pt>
              </c:numCache>
            </c:numRef>
          </c:cat>
          <c:val>
            <c:numRef>
              <c:f>Sheet1!$G$4:$G$8</c:f>
              <c:numCache>
                <c:formatCode>0.0</c:formatCode>
                <c:ptCount val="5"/>
                <c:pt idx="0">
                  <c:v>32</c:v>
                </c:pt>
                <c:pt idx="1">
                  <c:v>7.73</c:v>
                </c:pt>
                <c:pt idx="2">
                  <c:v>1.9</c:v>
                </c:pt>
                <c:pt idx="3">
                  <c:v>0.59</c:v>
                </c:pt>
                <c:pt idx="4">
                  <c:v>0.11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45D3-4C56-A1F5-EA83904423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63020159"/>
        <c:axId val="1256697503"/>
      </c:lineChart>
      <c:catAx>
        <c:axId val="1263020159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Time (Year)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56697503"/>
        <c:crosses val="autoZero"/>
        <c:auto val="1"/>
        <c:lblAlgn val="ctr"/>
        <c:lblOffset val="100"/>
        <c:noMultiLvlLbl val="0"/>
      </c:catAx>
      <c:valAx>
        <c:axId val="125669750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AU"/>
                  <a:t>Prevalence (%)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6302015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63500</xdr:colOff>
      <xdr:row>8</xdr:row>
      <xdr:rowOff>95250</xdr:rowOff>
    </xdr:from>
    <xdr:to>
      <xdr:col>7</xdr:col>
      <xdr:colOff>19050</xdr:colOff>
      <xdr:row>21</xdr:row>
      <xdr:rowOff>95250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E89B722-15EC-5EC4-1131-C92918B77F6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0B23A2-3902-4484-8762-475BC0813C81}">
  <dimension ref="A1:AK671"/>
  <sheetViews>
    <sheetView tabSelected="1" topLeftCell="T1" zoomScale="80" zoomScaleNormal="80" workbookViewId="0">
      <selection activeCell="AA11" sqref="AA11"/>
    </sheetView>
  </sheetViews>
  <sheetFormatPr defaultColWidth="8.875" defaultRowHeight="14.1"/>
  <cols>
    <col min="1" max="1" width="8.875" style="11"/>
    <col min="2" max="2" width="7.5" style="11" customWidth="1"/>
    <col min="3" max="6" width="6.25" style="1" customWidth="1"/>
    <col min="7" max="7" width="12.875" style="51" customWidth="1"/>
    <col min="8" max="8" width="10.625" style="1" customWidth="1"/>
    <col min="9" max="9" width="13.375" style="1" customWidth="1"/>
    <col min="10" max="11" width="13.375" style="50" customWidth="1"/>
    <col min="12" max="12" width="14.875" style="50" customWidth="1"/>
    <col min="13" max="13" width="11.5" style="11" customWidth="1"/>
    <col min="14" max="14" width="7.5" style="11" customWidth="1"/>
    <col min="15" max="18" width="6.25" style="1" customWidth="1"/>
    <col min="19" max="19" width="13.125" style="1" customWidth="1"/>
    <col min="20" max="22" width="13.875" style="1" customWidth="1"/>
    <col min="23" max="23" width="14.25" style="23" customWidth="1"/>
    <col min="24" max="24" width="12.75" style="11" customWidth="1"/>
    <col min="25" max="25" width="7.5" style="11" customWidth="1"/>
    <col min="26" max="27" width="6.25" style="1" customWidth="1"/>
    <col min="28" max="28" width="37.5" style="1" customWidth="1"/>
    <col min="29" max="33" width="8.875" style="2"/>
    <col min="34" max="34" width="12.375" style="2" customWidth="1"/>
    <col min="35" max="35" width="30.875" style="2" customWidth="1"/>
    <col min="36" max="16384" width="8.875" style="2"/>
  </cols>
  <sheetData>
    <row r="1" spans="1:35" s="5" customFormat="1" ht="18">
      <c r="A1" s="160" t="s">
        <v>0</v>
      </c>
      <c r="B1" s="160" t="s">
        <v>1</v>
      </c>
      <c r="C1" s="161" t="s">
        <v>2</v>
      </c>
      <c r="D1" s="161"/>
      <c r="E1" s="161"/>
      <c r="F1" s="161"/>
      <c r="G1" s="149" t="s">
        <v>3</v>
      </c>
      <c r="H1" s="162" t="s">
        <v>4</v>
      </c>
      <c r="I1" s="162" t="s">
        <v>5</v>
      </c>
      <c r="J1" s="149" t="s">
        <v>6</v>
      </c>
      <c r="K1" s="163"/>
      <c r="L1" s="163" t="s">
        <v>7</v>
      </c>
      <c r="M1" s="160" t="s">
        <v>8</v>
      </c>
      <c r="N1" s="160" t="s">
        <v>1</v>
      </c>
      <c r="O1" s="161" t="s">
        <v>9</v>
      </c>
      <c r="P1" s="161"/>
      <c r="Q1" s="161"/>
      <c r="R1" s="161"/>
      <c r="S1" s="160" t="s">
        <v>3</v>
      </c>
      <c r="T1" s="160" t="s">
        <v>10</v>
      </c>
      <c r="U1" s="149" t="s">
        <v>11</v>
      </c>
      <c r="V1" s="163"/>
      <c r="W1" s="162" t="s">
        <v>12</v>
      </c>
      <c r="X1" s="160" t="s">
        <v>13</v>
      </c>
      <c r="Y1" s="160" t="s">
        <v>1</v>
      </c>
      <c r="Z1" s="149" t="s">
        <v>14</v>
      </c>
      <c r="AA1" s="149"/>
      <c r="AB1" s="160" t="s">
        <v>15</v>
      </c>
      <c r="AC1" s="2"/>
      <c r="AD1" s="2"/>
      <c r="AE1" s="2"/>
      <c r="AF1" s="2"/>
      <c r="AG1" s="2"/>
      <c r="AH1" s="2"/>
      <c r="AI1" s="2"/>
    </row>
    <row r="2" spans="1:35">
      <c r="A2" s="160"/>
      <c r="B2" s="160"/>
      <c r="C2" s="161" t="s">
        <v>16</v>
      </c>
      <c r="D2" s="161"/>
      <c r="E2" s="161" t="s">
        <v>17</v>
      </c>
      <c r="F2" s="161"/>
      <c r="G2" s="149"/>
      <c r="H2" s="162"/>
      <c r="I2" s="162"/>
      <c r="J2" s="164"/>
      <c r="K2" s="165"/>
      <c r="L2" s="163"/>
      <c r="M2" s="160"/>
      <c r="N2" s="160"/>
      <c r="O2" s="161" t="s">
        <v>18</v>
      </c>
      <c r="P2" s="161"/>
      <c r="Q2" s="161" t="s">
        <v>17</v>
      </c>
      <c r="R2" s="161"/>
      <c r="S2" s="160"/>
      <c r="T2" s="160"/>
      <c r="U2" s="164"/>
      <c r="V2" s="165"/>
      <c r="W2" s="162"/>
      <c r="X2" s="160"/>
      <c r="Y2" s="160"/>
      <c r="Z2" s="149"/>
      <c r="AA2" s="149"/>
      <c r="AB2" s="160"/>
    </row>
    <row r="3" spans="1:35">
      <c r="A3" s="160"/>
      <c r="B3" s="160"/>
      <c r="C3" s="8" t="s">
        <v>19</v>
      </c>
      <c r="D3" s="8" t="s">
        <v>20</v>
      </c>
      <c r="E3" s="8" t="s">
        <v>19</v>
      </c>
      <c r="F3" s="8" t="s">
        <v>20</v>
      </c>
      <c r="G3" s="149"/>
      <c r="H3" s="162"/>
      <c r="I3" s="162"/>
      <c r="J3" s="96" t="s">
        <v>21</v>
      </c>
      <c r="K3" s="96" t="s">
        <v>22</v>
      </c>
      <c r="L3" s="163"/>
      <c r="M3" s="160"/>
      <c r="N3" s="160"/>
      <c r="O3" s="8" t="s">
        <v>19</v>
      </c>
      <c r="P3" s="8" t="s">
        <v>20</v>
      </c>
      <c r="Q3" s="8" t="s">
        <v>19</v>
      </c>
      <c r="R3" s="8" t="s">
        <v>20</v>
      </c>
      <c r="S3" s="160"/>
      <c r="T3" s="160"/>
      <c r="U3" s="7" t="s">
        <v>21</v>
      </c>
      <c r="V3" s="7" t="s">
        <v>22</v>
      </c>
      <c r="W3" s="162"/>
      <c r="X3" s="160"/>
      <c r="Y3" s="160"/>
      <c r="Z3" s="7" t="s">
        <v>19</v>
      </c>
      <c r="AA3" s="7" t="s">
        <v>20</v>
      </c>
      <c r="AB3" s="160"/>
    </row>
    <row r="4" spans="1:35">
      <c r="A4" s="11">
        <v>6</v>
      </c>
      <c r="B4" s="10" t="s">
        <v>23</v>
      </c>
      <c r="C4" s="3" t="s">
        <v>24</v>
      </c>
      <c r="E4" s="3" t="s">
        <v>24</v>
      </c>
      <c r="G4" s="51" t="s">
        <v>25</v>
      </c>
      <c r="J4" s="105"/>
      <c r="K4" s="105"/>
      <c r="L4" s="50" t="s">
        <v>26</v>
      </c>
      <c r="M4" s="11">
        <v>114</v>
      </c>
      <c r="N4" s="10" t="s">
        <v>23</v>
      </c>
      <c r="O4" s="3" t="s">
        <v>24</v>
      </c>
      <c r="Q4" s="3" t="s">
        <v>24</v>
      </c>
      <c r="S4" s="1" t="s">
        <v>25</v>
      </c>
      <c r="T4" s="1" t="s">
        <v>27</v>
      </c>
      <c r="U4" s="106">
        <v>45272</v>
      </c>
      <c r="V4" s="106">
        <v>45476</v>
      </c>
    </row>
    <row r="5" spans="1:35">
      <c r="A5" s="11">
        <v>39</v>
      </c>
      <c r="B5" s="10" t="s">
        <v>23</v>
      </c>
      <c r="C5" s="3" t="s">
        <v>24</v>
      </c>
      <c r="E5" s="3" t="s">
        <v>24</v>
      </c>
      <c r="G5" s="51" t="s">
        <v>25</v>
      </c>
      <c r="J5" s="105"/>
      <c r="K5" s="105"/>
      <c r="L5" s="50" t="s">
        <v>26</v>
      </c>
      <c r="M5" s="11">
        <v>302</v>
      </c>
      <c r="N5" s="10" t="s">
        <v>23</v>
      </c>
      <c r="O5" s="3" t="s">
        <v>24</v>
      </c>
      <c r="Q5" s="3" t="s">
        <v>24</v>
      </c>
      <c r="S5" s="1" t="s">
        <v>25</v>
      </c>
      <c r="T5" s="1" t="s">
        <v>27</v>
      </c>
      <c r="U5" s="106">
        <v>45272</v>
      </c>
      <c r="V5" s="106">
        <v>45476</v>
      </c>
    </row>
    <row r="6" spans="1:35">
      <c r="A6" s="11" t="s">
        <v>28</v>
      </c>
      <c r="B6" s="10" t="s">
        <v>23</v>
      </c>
      <c r="C6" s="4" t="s">
        <v>29</v>
      </c>
      <c r="E6" s="4" t="s">
        <v>29</v>
      </c>
      <c r="F6" s="4" t="s">
        <v>29</v>
      </c>
      <c r="G6" s="51" t="s">
        <v>25</v>
      </c>
      <c r="J6" s="105"/>
      <c r="K6" s="105"/>
      <c r="L6" s="50" t="s">
        <v>26</v>
      </c>
      <c r="M6" s="11">
        <v>1906</v>
      </c>
      <c r="N6" s="10" t="s">
        <v>23</v>
      </c>
      <c r="O6" s="4" t="s">
        <v>29</v>
      </c>
      <c r="Q6" s="4" t="s">
        <v>29</v>
      </c>
      <c r="S6" s="1" t="s">
        <v>25</v>
      </c>
      <c r="T6" s="1" t="s">
        <v>27</v>
      </c>
      <c r="U6" s="106">
        <v>45272</v>
      </c>
      <c r="V6" s="106">
        <v>45476</v>
      </c>
    </row>
    <row r="7" spans="1:35">
      <c r="A7" s="11">
        <v>21</v>
      </c>
      <c r="B7" s="10" t="s">
        <v>23</v>
      </c>
      <c r="C7" s="3" t="s">
        <v>24</v>
      </c>
      <c r="G7" s="1" t="s">
        <v>25</v>
      </c>
      <c r="J7" s="106"/>
      <c r="K7" s="106"/>
      <c r="L7" s="1"/>
      <c r="N7" s="10"/>
    </row>
    <row r="8" spans="1:35">
      <c r="A8" s="11">
        <v>19</v>
      </c>
      <c r="B8" s="10" t="s">
        <v>23</v>
      </c>
      <c r="C8" s="3" t="s">
        <v>24</v>
      </c>
      <c r="G8" s="1" t="s">
        <v>25</v>
      </c>
      <c r="J8" s="106"/>
      <c r="K8" s="106"/>
      <c r="L8" s="1"/>
      <c r="N8" s="10"/>
    </row>
    <row r="9" spans="1:35">
      <c r="A9" s="11" t="s">
        <v>30</v>
      </c>
      <c r="B9" s="10" t="s">
        <v>23</v>
      </c>
      <c r="C9" s="4" t="s">
        <v>29</v>
      </c>
      <c r="G9" s="1" t="s">
        <v>25</v>
      </c>
      <c r="J9" s="106"/>
      <c r="K9" s="106"/>
      <c r="L9" s="1"/>
      <c r="N9" s="10"/>
    </row>
    <row r="10" spans="1:35">
      <c r="A10" s="11">
        <v>11</v>
      </c>
      <c r="B10" s="10" t="s">
        <v>23</v>
      </c>
      <c r="C10" s="3" t="s">
        <v>24</v>
      </c>
      <c r="E10" s="3" t="s">
        <v>24</v>
      </c>
      <c r="G10" s="51" t="s">
        <v>25</v>
      </c>
      <c r="J10" s="105"/>
      <c r="K10" s="105"/>
      <c r="L10" s="50" t="s">
        <v>26</v>
      </c>
      <c r="M10" s="11">
        <v>205</v>
      </c>
      <c r="N10" s="10" t="s">
        <v>23</v>
      </c>
      <c r="O10" s="3" t="s">
        <v>24</v>
      </c>
      <c r="S10" s="1" t="s">
        <v>25</v>
      </c>
      <c r="T10" s="1" t="s">
        <v>31</v>
      </c>
      <c r="U10" s="106">
        <v>45272</v>
      </c>
      <c r="V10" s="106">
        <v>45476</v>
      </c>
    </row>
    <row r="11" spans="1:35">
      <c r="A11" s="11">
        <v>23</v>
      </c>
      <c r="B11" s="10" t="s">
        <v>23</v>
      </c>
      <c r="C11" s="3" t="s">
        <v>24</v>
      </c>
      <c r="E11" s="3" t="s">
        <v>24</v>
      </c>
      <c r="G11" s="51" t="s">
        <v>25</v>
      </c>
      <c r="J11" s="105"/>
      <c r="K11" s="105"/>
      <c r="N11" s="10"/>
    </row>
    <row r="12" spans="1:35">
      <c r="A12" s="11">
        <v>61</v>
      </c>
      <c r="B12" s="10" t="s">
        <v>23</v>
      </c>
      <c r="C12" s="3" t="s">
        <v>24</v>
      </c>
      <c r="E12" s="3" t="s">
        <v>24</v>
      </c>
      <c r="G12" s="51" t="s">
        <v>25</v>
      </c>
      <c r="J12" s="105"/>
      <c r="K12" s="105"/>
      <c r="L12" s="50" t="s">
        <v>26</v>
      </c>
      <c r="M12" s="11">
        <v>303</v>
      </c>
      <c r="N12" s="10" t="s">
        <v>23</v>
      </c>
      <c r="O12" s="3" t="s">
        <v>24</v>
      </c>
      <c r="Q12" s="3" t="s">
        <v>24</v>
      </c>
      <c r="S12" s="1" t="s">
        <v>25</v>
      </c>
      <c r="T12" s="1" t="s">
        <v>27</v>
      </c>
      <c r="U12" s="106">
        <v>45272</v>
      </c>
      <c r="V12" s="106">
        <v>45476</v>
      </c>
    </row>
    <row r="13" spans="1:35">
      <c r="A13" s="11" t="s">
        <v>32</v>
      </c>
      <c r="B13" s="10" t="s">
        <v>23</v>
      </c>
      <c r="C13" s="3" t="s">
        <v>24</v>
      </c>
      <c r="E13" s="3" t="s">
        <v>24</v>
      </c>
      <c r="G13" s="51" t="s">
        <v>25</v>
      </c>
      <c r="J13" s="105"/>
      <c r="K13" s="105"/>
      <c r="L13" s="50" t="s">
        <v>26</v>
      </c>
      <c r="M13" s="11">
        <v>404</v>
      </c>
      <c r="N13" s="10" t="s">
        <v>23</v>
      </c>
      <c r="O13" s="3" t="s">
        <v>24</v>
      </c>
      <c r="Q13" s="3" t="s">
        <v>24</v>
      </c>
      <c r="S13" s="1" t="s">
        <v>25</v>
      </c>
      <c r="T13" s="1" t="s">
        <v>31</v>
      </c>
      <c r="U13" s="106">
        <v>45272</v>
      </c>
      <c r="V13" s="106">
        <v>45476</v>
      </c>
    </row>
    <row r="14" spans="1:35">
      <c r="A14" s="11">
        <v>20</v>
      </c>
      <c r="B14" s="10" t="s">
        <v>23</v>
      </c>
      <c r="C14" s="3" t="s">
        <v>24</v>
      </c>
      <c r="E14" s="3" t="s">
        <v>24</v>
      </c>
      <c r="G14" s="51" t="s">
        <v>25</v>
      </c>
      <c r="J14" s="105"/>
      <c r="K14" s="105"/>
      <c r="L14" s="50" t="s">
        <v>26</v>
      </c>
      <c r="M14" s="11">
        <v>211</v>
      </c>
      <c r="N14" s="10" t="s">
        <v>23</v>
      </c>
      <c r="O14" s="3" t="s">
        <v>24</v>
      </c>
      <c r="S14" s="1" t="s">
        <v>25</v>
      </c>
      <c r="T14" s="1" t="s">
        <v>27</v>
      </c>
      <c r="U14" s="106">
        <v>45272</v>
      </c>
      <c r="V14" s="106">
        <v>45476</v>
      </c>
    </row>
    <row r="15" spans="1:35">
      <c r="A15" s="11" t="s">
        <v>33</v>
      </c>
      <c r="B15" s="10" t="s">
        <v>23</v>
      </c>
      <c r="C15" s="3" t="s">
        <v>24</v>
      </c>
      <c r="E15" s="3" t="s">
        <v>24</v>
      </c>
      <c r="G15" s="1" t="s">
        <v>25</v>
      </c>
      <c r="J15" s="106"/>
      <c r="K15" s="106"/>
      <c r="L15" s="1" t="s">
        <v>34</v>
      </c>
      <c r="N15" s="10"/>
    </row>
    <row r="16" spans="1:35">
      <c r="A16" s="11">
        <v>7</v>
      </c>
      <c r="B16" s="10" t="s">
        <v>23</v>
      </c>
      <c r="C16" s="3" t="s">
        <v>24</v>
      </c>
      <c r="E16" s="3" t="s">
        <v>24</v>
      </c>
      <c r="G16" s="51" t="s">
        <v>25</v>
      </c>
      <c r="J16" s="105"/>
      <c r="K16" s="105"/>
      <c r="L16" s="50" t="s">
        <v>26</v>
      </c>
      <c r="M16" s="11">
        <v>111</v>
      </c>
      <c r="N16" s="10" t="s">
        <v>23</v>
      </c>
      <c r="O16" s="3" t="s">
        <v>24</v>
      </c>
      <c r="Q16" s="3" t="s">
        <v>24</v>
      </c>
      <c r="S16" s="1" t="s">
        <v>25</v>
      </c>
      <c r="T16" s="1" t="s">
        <v>27</v>
      </c>
      <c r="U16" s="106">
        <v>45272</v>
      </c>
      <c r="V16" s="106">
        <v>45476</v>
      </c>
    </row>
    <row r="17" spans="1:28">
      <c r="A17" s="11">
        <v>14</v>
      </c>
      <c r="B17" s="10" t="s">
        <v>23</v>
      </c>
      <c r="C17" s="3" t="s">
        <v>24</v>
      </c>
      <c r="E17" s="3" t="s">
        <v>24</v>
      </c>
      <c r="G17" s="51" t="s">
        <v>25</v>
      </c>
      <c r="J17" s="105"/>
      <c r="K17" s="105"/>
      <c r="L17" s="50" t="s">
        <v>26</v>
      </c>
      <c r="M17" s="11">
        <v>300</v>
      </c>
      <c r="N17" s="10" t="s">
        <v>23</v>
      </c>
      <c r="O17" s="3" t="s">
        <v>24</v>
      </c>
      <c r="S17" s="1" t="s">
        <v>25</v>
      </c>
      <c r="T17" s="1" t="s">
        <v>31</v>
      </c>
      <c r="U17" s="106">
        <v>45272</v>
      </c>
      <c r="V17" s="106">
        <v>45476</v>
      </c>
    </row>
    <row r="18" spans="1:28">
      <c r="A18" s="11" t="s">
        <v>35</v>
      </c>
      <c r="B18" s="10" t="s">
        <v>23</v>
      </c>
      <c r="C18" s="3" t="s">
        <v>24</v>
      </c>
      <c r="G18" s="51" t="s">
        <v>25</v>
      </c>
      <c r="J18" s="105"/>
      <c r="K18" s="105"/>
      <c r="L18" s="50" t="s">
        <v>26</v>
      </c>
      <c r="M18" s="11">
        <v>201</v>
      </c>
      <c r="N18" s="10" t="s">
        <v>23</v>
      </c>
      <c r="O18" s="3" t="s">
        <v>24</v>
      </c>
      <c r="S18" s="1" t="s">
        <v>25</v>
      </c>
      <c r="T18" s="1" t="s">
        <v>36</v>
      </c>
      <c r="U18" s="106">
        <v>45272</v>
      </c>
      <c r="V18" s="106">
        <v>45476</v>
      </c>
      <c r="AB18" s="1" t="s">
        <v>37</v>
      </c>
    </row>
    <row r="19" spans="1:28">
      <c r="A19" s="11">
        <v>60</v>
      </c>
      <c r="B19" s="10" t="s">
        <v>23</v>
      </c>
      <c r="C19" s="3" t="s">
        <v>24</v>
      </c>
      <c r="E19" s="3" t="s">
        <v>24</v>
      </c>
      <c r="G19" s="51" t="s">
        <v>25</v>
      </c>
      <c r="J19" s="105"/>
      <c r="K19" s="105"/>
      <c r="L19" s="50" t="s">
        <v>26</v>
      </c>
      <c r="M19" s="11" t="s">
        <v>38</v>
      </c>
      <c r="N19" s="10" t="s">
        <v>23</v>
      </c>
      <c r="O19" s="3" t="s">
        <v>24</v>
      </c>
      <c r="Q19" s="3" t="s">
        <v>24</v>
      </c>
      <c r="S19" s="1" t="s">
        <v>25</v>
      </c>
      <c r="T19" s="1" t="s">
        <v>27</v>
      </c>
      <c r="U19" s="106">
        <v>45272</v>
      </c>
      <c r="V19" s="106">
        <v>45476</v>
      </c>
    </row>
    <row r="20" spans="1:28">
      <c r="A20" s="11" t="s">
        <v>39</v>
      </c>
      <c r="B20" s="10" t="s">
        <v>23</v>
      </c>
      <c r="C20" s="3" t="s">
        <v>24</v>
      </c>
      <c r="G20" s="1" t="s">
        <v>25</v>
      </c>
      <c r="J20" s="106"/>
      <c r="K20" s="106"/>
      <c r="L20" s="1"/>
      <c r="N20" s="10"/>
      <c r="X20" s="12"/>
      <c r="Y20" s="12"/>
      <c r="Z20" s="107"/>
      <c r="AA20" s="107"/>
    </row>
    <row r="21" spans="1:28">
      <c r="A21" s="11" t="s">
        <v>40</v>
      </c>
      <c r="B21" s="10" t="s">
        <v>23</v>
      </c>
      <c r="C21" s="3" t="s">
        <v>24</v>
      </c>
      <c r="G21" s="1" t="s">
        <v>25</v>
      </c>
      <c r="J21" s="106"/>
      <c r="K21" s="106"/>
      <c r="L21" s="1"/>
      <c r="N21" s="10"/>
    </row>
    <row r="22" spans="1:28">
      <c r="A22" s="11" t="s">
        <v>41</v>
      </c>
      <c r="B22" s="10" t="s">
        <v>23</v>
      </c>
      <c r="C22" s="3" t="s">
        <v>24</v>
      </c>
      <c r="G22" s="1" t="s">
        <v>25</v>
      </c>
      <c r="J22" s="106"/>
      <c r="K22" s="106"/>
      <c r="L22" s="1"/>
      <c r="N22" s="10"/>
    </row>
    <row r="23" spans="1:28">
      <c r="A23" s="11">
        <v>51</v>
      </c>
      <c r="B23" s="10" t="s">
        <v>23</v>
      </c>
      <c r="C23" s="3" t="s">
        <v>24</v>
      </c>
      <c r="E23" s="3" t="s">
        <v>24</v>
      </c>
      <c r="G23" s="51" t="s">
        <v>25</v>
      </c>
      <c r="J23" s="105"/>
      <c r="K23" s="105"/>
      <c r="L23" s="50" t="s">
        <v>26</v>
      </c>
      <c r="M23" s="11">
        <v>305</v>
      </c>
      <c r="N23" s="10" t="s">
        <v>23</v>
      </c>
      <c r="O23" s="3" t="s">
        <v>24</v>
      </c>
      <c r="Q23" s="3" t="s">
        <v>24</v>
      </c>
      <c r="S23" s="1" t="s">
        <v>25</v>
      </c>
      <c r="T23" s="1" t="s">
        <v>27</v>
      </c>
      <c r="U23" s="106">
        <v>45272</v>
      </c>
      <c r="V23" s="106">
        <v>45476</v>
      </c>
    </row>
    <row r="24" spans="1:28">
      <c r="A24" s="11" t="s">
        <v>42</v>
      </c>
      <c r="B24" s="10" t="s">
        <v>23</v>
      </c>
      <c r="C24" s="3" t="s">
        <v>24</v>
      </c>
      <c r="E24" s="3" t="s">
        <v>24</v>
      </c>
      <c r="G24" s="51" t="s">
        <v>25</v>
      </c>
      <c r="J24" s="105"/>
      <c r="K24" s="105"/>
      <c r="N24" s="10"/>
    </row>
    <row r="25" spans="1:28">
      <c r="A25" s="11" t="s">
        <v>43</v>
      </c>
      <c r="B25" s="10" t="s">
        <v>23</v>
      </c>
      <c r="C25" s="3" t="s">
        <v>24</v>
      </c>
      <c r="E25" s="3" t="s">
        <v>24</v>
      </c>
      <c r="G25" s="51" t="s">
        <v>25</v>
      </c>
      <c r="J25" s="105"/>
      <c r="K25" s="105"/>
      <c r="L25" s="50" t="s">
        <v>26</v>
      </c>
      <c r="M25" s="11" t="s">
        <v>44</v>
      </c>
      <c r="N25" s="10" t="s">
        <v>23</v>
      </c>
      <c r="O25" s="3" t="s">
        <v>24</v>
      </c>
      <c r="Q25" s="3" t="s">
        <v>24</v>
      </c>
      <c r="S25" s="1" t="s">
        <v>25</v>
      </c>
      <c r="T25" s="1" t="s">
        <v>27</v>
      </c>
      <c r="U25" s="106">
        <v>45272</v>
      </c>
      <c r="V25" s="106">
        <v>45476</v>
      </c>
    </row>
    <row r="26" spans="1:28">
      <c r="A26" s="11">
        <v>22</v>
      </c>
      <c r="B26" s="10" t="s">
        <v>23</v>
      </c>
      <c r="C26" s="3" t="s">
        <v>24</v>
      </c>
      <c r="E26" s="3" t="s">
        <v>24</v>
      </c>
      <c r="G26" s="1" t="s">
        <v>25</v>
      </c>
      <c r="J26" s="106"/>
      <c r="K26" s="106"/>
      <c r="L26" s="1" t="s">
        <v>34</v>
      </c>
      <c r="N26" s="10"/>
    </row>
    <row r="27" spans="1:28">
      <c r="A27" s="11">
        <v>99</v>
      </c>
      <c r="B27" s="10" t="s">
        <v>23</v>
      </c>
      <c r="C27" s="3" t="s">
        <v>24</v>
      </c>
      <c r="G27" s="1" t="s">
        <v>25</v>
      </c>
      <c r="J27" s="106"/>
      <c r="K27" s="106"/>
      <c r="L27" s="1"/>
      <c r="N27" s="10"/>
    </row>
    <row r="28" spans="1:28">
      <c r="A28" s="11">
        <v>53</v>
      </c>
      <c r="B28" s="10" t="s">
        <v>23</v>
      </c>
      <c r="C28" s="3" t="s">
        <v>24</v>
      </c>
      <c r="E28" s="3" t="s">
        <v>24</v>
      </c>
      <c r="G28" s="51" t="s">
        <v>25</v>
      </c>
      <c r="J28" s="105"/>
      <c r="K28" s="105"/>
      <c r="L28" s="50" t="s">
        <v>26</v>
      </c>
      <c r="M28" s="11" t="s">
        <v>45</v>
      </c>
      <c r="N28" s="10" t="s">
        <v>23</v>
      </c>
      <c r="O28" s="6" t="s">
        <v>46</v>
      </c>
      <c r="Q28" s="3" t="s">
        <v>24</v>
      </c>
      <c r="S28" s="1" t="s">
        <v>25</v>
      </c>
      <c r="T28" s="1" t="s">
        <v>31</v>
      </c>
      <c r="U28" s="106">
        <v>45272</v>
      </c>
      <c r="V28" s="106">
        <v>45476</v>
      </c>
    </row>
    <row r="29" spans="1:28">
      <c r="A29" s="11">
        <v>24</v>
      </c>
      <c r="B29" s="10" t="s">
        <v>23</v>
      </c>
      <c r="C29" s="3" t="s">
        <v>24</v>
      </c>
      <c r="G29" s="1" t="s">
        <v>25</v>
      </c>
      <c r="J29" s="106"/>
      <c r="K29" s="106"/>
      <c r="L29" s="1"/>
      <c r="N29" s="10"/>
    </row>
    <row r="30" spans="1:28">
      <c r="A30" s="11" t="s">
        <v>47</v>
      </c>
      <c r="B30" s="10" t="s">
        <v>23</v>
      </c>
      <c r="C30" s="3" t="s">
        <v>24</v>
      </c>
      <c r="G30" s="1" t="s">
        <v>25</v>
      </c>
      <c r="J30" s="106"/>
      <c r="K30" s="106"/>
      <c r="L30" s="1"/>
      <c r="N30" s="10"/>
    </row>
    <row r="31" spans="1:28">
      <c r="A31" s="11">
        <v>8</v>
      </c>
      <c r="B31" s="10" t="s">
        <v>23</v>
      </c>
      <c r="C31" s="3" t="s">
        <v>24</v>
      </c>
      <c r="E31" s="3" t="s">
        <v>24</v>
      </c>
      <c r="G31" s="51" t="s">
        <v>25</v>
      </c>
      <c r="J31" s="105"/>
      <c r="K31" s="105"/>
      <c r="L31" s="50" t="s">
        <v>26</v>
      </c>
      <c r="M31" s="11">
        <v>209</v>
      </c>
      <c r="N31" s="10" t="s">
        <v>23</v>
      </c>
      <c r="O31" s="3" t="s">
        <v>24</v>
      </c>
      <c r="Q31" s="3" t="s">
        <v>24</v>
      </c>
      <c r="S31" s="1" t="s">
        <v>25</v>
      </c>
      <c r="T31" s="1" t="s">
        <v>27</v>
      </c>
      <c r="U31" s="106">
        <v>45272</v>
      </c>
      <c r="V31" s="106">
        <v>45476</v>
      </c>
    </row>
    <row r="32" spans="1:28">
      <c r="A32" s="11">
        <v>453</v>
      </c>
      <c r="B32" s="10" t="s">
        <v>23</v>
      </c>
      <c r="C32" s="3" t="s">
        <v>24</v>
      </c>
      <c r="G32" s="1" t="s">
        <v>25</v>
      </c>
      <c r="J32" s="106"/>
      <c r="K32" s="106"/>
      <c r="L32" s="1"/>
      <c r="N32" s="10"/>
    </row>
    <row r="33" spans="1:34">
      <c r="A33" s="11">
        <v>9</v>
      </c>
      <c r="B33" s="10" t="s">
        <v>23</v>
      </c>
      <c r="C33" s="3" t="s">
        <v>24</v>
      </c>
      <c r="G33" s="1" t="s">
        <v>25</v>
      </c>
      <c r="J33" s="106"/>
      <c r="K33" s="106"/>
      <c r="L33" s="1"/>
      <c r="N33" s="10"/>
    </row>
    <row r="34" spans="1:34">
      <c r="A34" s="11" t="s">
        <v>48</v>
      </c>
      <c r="B34" s="10" t="s">
        <v>23</v>
      </c>
      <c r="C34" s="3" t="s">
        <v>24</v>
      </c>
      <c r="G34" s="51" t="s">
        <v>25</v>
      </c>
      <c r="J34" s="105"/>
      <c r="K34" s="105"/>
      <c r="L34" s="50" t="s">
        <v>26</v>
      </c>
      <c r="M34" s="11" t="s">
        <v>49</v>
      </c>
      <c r="N34" s="10" t="s">
        <v>23</v>
      </c>
      <c r="O34" s="3" t="s">
        <v>24</v>
      </c>
      <c r="Q34" s="3" t="s">
        <v>24</v>
      </c>
      <c r="S34" s="1" t="s">
        <v>25</v>
      </c>
      <c r="T34" s="1" t="s">
        <v>31</v>
      </c>
      <c r="U34" s="106">
        <v>45272</v>
      </c>
      <c r="V34" s="106">
        <v>45476</v>
      </c>
    </row>
    <row r="35" spans="1:34">
      <c r="A35" s="11" t="s">
        <v>50</v>
      </c>
      <c r="B35" s="10" t="s">
        <v>23</v>
      </c>
      <c r="C35" s="3" t="s">
        <v>24</v>
      </c>
      <c r="G35" s="1" t="s">
        <v>25</v>
      </c>
      <c r="J35" s="106"/>
      <c r="K35" s="106"/>
      <c r="L35" s="1"/>
      <c r="N35" s="10"/>
    </row>
    <row r="36" spans="1:34">
      <c r="A36" s="11" t="s">
        <v>51</v>
      </c>
      <c r="B36" s="10" t="s">
        <v>23</v>
      </c>
      <c r="C36" s="3" t="s">
        <v>24</v>
      </c>
      <c r="G36" s="1" t="s">
        <v>25</v>
      </c>
      <c r="J36" s="106"/>
      <c r="K36" s="106"/>
      <c r="L36" s="1"/>
      <c r="N36" s="10"/>
    </row>
    <row r="37" spans="1:34">
      <c r="A37" s="11">
        <v>50</v>
      </c>
      <c r="B37" s="10" t="s">
        <v>23</v>
      </c>
      <c r="C37" s="4" t="s">
        <v>29</v>
      </c>
      <c r="G37" s="1" t="s">
        <v>25</v>
      </c>
      <c r="J37" s="106"/>
      <c r="K37" s="106"/>
      <c r="L37" s="1"/>
      <c r="N37" s="10"/>
    </row>
    <row r="38" spans="1:34">
      <c r="A38" s="11" t="s">
        <v>52</v>
      </c>
      <c r="B38" s="10" t="s">
        <v>23</v>
      </c>
      <c r="C38" s="3" t="s">
        <v>24</v>
      </c>
      <c r="G38" s="1" t="s">
        <v>53</v>
      </c>
      <c r="J38" s="106"/>
      <c r="K38" s="106"/>
      <c r="L38" s="1"/>
      <c r="N38" s="10"/>
    </row>
    <row r="39" spans="1:34">
      <c r="A39" s="11">
        <v>3</v>
      </c>
      <c r="B39" s="10" t="s">
        <v>23</v>
      </c>
      <c r="E39" s="3" t="s">
        <v>24</v>
      </c>
      <c r="G39" s="51" t="s">
        <v>25</v>
      </c>
      <c r="J39" s="105"/>
      <c r="K39" s="105"/>
      <c r="L39" s="50" t="s">
        <v>26</v>
      </c>
      <c r="M39" s="11">
        <v>112</v>
      </c>
      <c r="N39" s="10" t="s">
        <v>23</v>
      </c>
      <c r="O39" s="3" t="s">
        <v>24</v>
      </c>
      <c r="S39" s="1" t="s">
        <v>25</v>
      </c>
      <c r="T39" s="1" t="s">
        <v>31</v>
      </c>
      <c r="U39" s="106">
        <v>45272</v>
      </c>
      <c r="V39" s="106">
        <v>45476</v>
      </c>
    </row>
    <row r="40" spans="1:34" s="19" customFormat="1">
      <c r="A40" s="18"/>
      <c r="B40" s="18"/>
      <c r="C40" s="108"/>
      <c r="D40" s="108"/>
      <c r="E40" s="108"/>
      <c r="F40" s="108"/>
      <c r="G40" s="109"/>
      <c r="H40" s="108"/>
      <c r="I40" s="108"/>
      <c r="J40" s="110"/>
      <c r="K40" s="110"/>
      <c r="L40" s="111"/>
      <c r="M40" s="17"/>
      <c r="N40" s="18"/>
      <c r="O40" s="108"/>
      <c r="P40" s="108"/>
      <c r="Q40" s="108"/>
      <c r="R40" s="108"/>
      <c r="S40" s="108"/>
      <c r="T40" s="108"/>
      <c r="U40" s="108"/>
      <c r="V40" s="108"/>
      <c r="W40" s="112"/>
      <c r="X40" s="17"/>
      <c r="Y40" s="17"/>
      <c r="Z40" s="108"/>
      <c r="AA40" s="108"/>
      <c r="AB40" s="108"/>
    </row>
    <row r="41" spans="1:34">
      <c r="A41" s="102">
        <v>878</v>
      </c>
      <c r="B41" s="131" t="s">
        <v>54</v>
      </c>
      <c r="C41" s="3" t="s">
        <v>24</v>
      </c>
      <c r="D41" s="113"/>
      <c r="E41" s="113"/>
      <c r="F41" s="113"/>
      <c r="G41" s="51" t="s">
        <v>53</v>
      </c>
      <c r="J41" s="105">
        <v>45145</v>
      </c>
      <c r="K41" s="105"/>
      <c r="L41" s="50" t="s">
        <v>26</v>
      </c>
      <c r="M41" s="14">
        <v>4</v>
      </c>
      <c r="N41" s="131" t="s">
        <v>54</v>
      </c>
      <c r="O41" s="113" t="s">
        <v>36</v>
      </c>
      <c r="P41" s="113"/>
      <c r="Q41" s="113"/>
      <c r="R41" s="113"/>
      <c r="S41" s="1" t="s">
        <v>25</v>
      </c>
      <c r="T41" s="1" t="s">
        <v>55</v>
      </c>
      <c r="W41" s="24">
        <v>45445</v>
      </c>
      <c r="X41" s="9"/>
      <c r="Y41" s="9"/>
      <c r="Z41" s="113"/>
      <c r="AA41" s="113"/>
      <c r="AB41" s="113"/>
    </row>
    <row r="42" spans="1:34" ht="15">
      <c r="A42" s="102">
        <v>786</v>
      </c>
      <c r="B42" s="131" t="s">
        <v>54</v>
      </c>
      <c r="C42" s="4" t="s">
        <v>29</v>
      </c>
      <c r="D42" s="113"/>
      <c r="E42" s="113"/>
      <c r="F42" s="113"/>
      <c r="G42" s="51" t="s">
        <v>53</v>
      </c>
      <c r="H42" s="1" t="str">
        <f t="shared" ref="H42:H73" si="0">IF(I42 &lt; 24, "Heifer", "Cow")</f>
        <v>Cow</v>
      </c>
      <c r="I42" s="1">
        <v>88</v>
      </c>
      <c r="J42" s="105">
        <v>45145</v>
      </c>
      <c r="K42" s="105"/>
      <c r="L42" s="50" t="s">
        <v>26</v>
      </c>
      <c r="M42" s="14">
        <v>7</v>
      </c>
      <c r="N42" s="131" t="s">
        <v>54</v>
      </c>
      <c r="O42" s="3" t="s">
        <v>24</v>
      </c>
      <c r="P42" s="113"/>
      <c r="Q42" s="113"/>
      <c r="R42" s="113"/>
      <c r="S42" s="1" t="s">
        <v>25</v>
      </c>
      <c r="T42" s="1" t="s">
        <v>55</v>
      </c>
      <c r="U42" s="106">
        <v>45454</v>
      </c>
      <c r="W42" s="24">
        <v>45447</v>
      </c>
      <c r="X42" s="9"/>
      <c r="Y42" s="9"/>
      <c r="Z42" s="113"/>
      <c r="AA42" s="113"/>
      <c r="AB42" s="113"/>
      <c r="AH42" s="103" t="s">
        <v>56</v>
      </c>
    </row>
    <row r="43" spans="1:34">
      <c r="A43" s="102">
        <v>756</v>
      </c>
      <c r="B43" s="131" t="s">
        <v>54</v>
      </c>
      <c r="C43" s="3" t="s">
        <v>24</v>
      </c>
      <c r="D43" s="113"/>
      <c r="E43" s="113"/>
      <c r="F43" s="113"/>
      <c r="G43" s="51" t="s">
        <v>53</v>
      </c>
      <c r="H43" s="1" t="str">
        <f t="shared" si="0"/>
        <v>Cow</v>
      </c>
      <c r="I43" s="1">
        <v>100</v>
      </c>
      <c r="J43" s="105">
        <v>45145</v>
      </c>
      <c r="K43" s="105"/>
      <c r="L43" s="50" t="s">
        <v>26</v>
      </c>
      <c r="M43" s="14">
        <v>9</v>
      </c>
      <c r="N43" s="131" t="s">
        <v>54</v>
      </c>
      <c r="O43" s="3" t="s">
        <v>24</v>
      </c>
      <c r="P43" s="113"/>
      <c r="Q43" s="113"/>
      <c r="R43" s="113"/>
      <c r="S43" s="1" t="s">
        <v>25</v>
      </c>
      <c r="T43" s="1" t="s">
        <v>55</v>
      </c>
      <c r="U43" s="106">
        <v>45454</v>
      </c>
      <c r="W43" s="24">
        <v>45448</v>
      </c>
      <c r="X43" s="9"/>
      <c r="Y43" s="9"/>
      <c r="Z43" s="113"/>
      <c r="AA43" s="113"/>
      <c r="AB43" s="113"/>
    </row>
    <row r="44" spans="1:34">
      <c r="A44" s="102">
        <v>829</v>
      </c>
      <c r="B44" s="131" t="s">
        <v>54</v>
      </c>
      <c r="C44" s="3" t="s">
        <v>24</v>
      </c>
      <c r="D44" s="113"/>
      <c r="E44" s="113"/>
      <c r="F44" s="113"/>
      <c r="G44" s="51" t="s">
        <v>53</v>
      </c>
      <c r="H44" s="1" t="str">
        <f t="shared" si="0"/>
        <v>Cow</v>
      </c>
      <c r="I44" s="1">
        <v>76</v>
      </c>
      <c r="J44" s="105">
        <v>45145</v>
      </c>
      <c r="K44" s="105"/>
      <c r="L44" s="50" t="s">
        <v>26</v>
      </c>
      <c r="M44" s="14">
        <v>10</v>
      </c>
      <c r="N44" s="131" t="s">
        <v>54</v>
      </c>
      <c r="O44" s="3" t="s">
        <v>24</v>
      </c>
      <c r="P44" s="113"/>
      <c r="Q44" s="113"/>
      <c r="R44" s="113"/>
      <c r="S44" s="1" t="s">
        <v>25</v>
      </c>
      <c r="T44" s="1" t="s">
        <v>55</v>
      </c>
      <c r="U44" s="106">
        <v>45454</v>
      </c>
      <c r="W44" s="24">
        <v>45448</v>
      </c>
      <c r="X44" s="9"/>
      <c r="Y44" s="9"/>
      <c r="Z44" s="113"/>
      <c r="AA44" s="113"/>
      <c r="AB44" s="113"/>
    </row>
    <row r="45" spans="1:34">
      <c r="A45" s="102">
        <v>772</v>
      </c>
      <c r="B45" s="131" t="s">
        <v>54</v>
      </c>
      <c r="C45" s="3" t="s">
        <v>24</v>
      </c>
      <c r="D45" s="113"/>
      <c r="E45" s="113"/>
      <c r="F45" s="113"/>
      <c r="G45" s="51" t="s">
        <v>53</v>
      </c>
      <c r="H45" s="1" t="str">
        <f t="shared" si="0"/>
        <v>Cow</v>
      </c>
      <c r="I45" s="1">
        <v>99</v>
      </c>
      <c r="J45" s="105">
        <v>45145</v>
      </c>
      <c r="K45" s="105"/>
      <c r="L45" s="50" t="s">
        <v>26</v>
      </c>
      <c r="M45" s="14">
        <v>11</v>
      </c>
      <c r="N45" s="131" t="s">
        <v>54</v>
      </c>
      <c r="O45" s="3" t="s">
        <v>24</v>
      </c>
      <c r="P45" s="113"/>
      <c r="Q45" s="113"/>
      <c r="R45" s="113"/>
      <c r="S45" s="1" t="s">
        <v>25</v>
      </c>
      <c r="T45" s="1" t="s">
        <v>55</v>
      </c>
      <c r="U45" s="106">
        <v>45454</v>
      </c>
      <c r="W45" s="24">
        <v>45448</v>
      </c>
      <c r="X45" s="9"/>
      <c r="Y45" s="9"/>
      <c r="Z45" s="113"/>
      <c r="AA45" s="113"/>
      <c r="AB45" s="113"/>
    </row>
    <row r="46" spans="1:34">
      <c r="A46" s="102">
        <v>851</v>
      </c>
      <c r="B46" s="131" t="s">
        <v>54</v>
      </c>
      <c r="C46" s="4" t="s">
        <v>29</v>
      </c>
      <c r="D46" s="113"/>
      <c r="E46" s="113"/>
      <c r="F46" s="113"/>
      <c r="G46" s="51" t="s">
        <v>53</v>
      </c>
      <c r="H46" s="1" t="str">
        <f t="shared" si="0"/>
        <v>Cow</v>
      </c>
      <c r="I46" s="1">
        <v>64</v>
      </c>
      <c r="J46" s="105">
        <v>45145</v>
      </c>
      <c r="K46" s="105"/>
      <c r="L46" s="50" t="s">
        <v>26</v>
      </c>
      <c r="M46" s="14">
        <v>12</v>
      </c>
      <c r="N46" s="131" t="s">
        <v>54</v>
      </c>
      <c r="O46" s="3" t="s">
        <v>24</v>
      </c>
      <c r="P46" s="113"/>
      <c r="Q46" s="113"/>
      <c r="R46" s="113"/>
      <c r="S46" s="1" t="s">
        <v>25</v>
      </c>
      <c r="T46" s="1" t="s">
        <v>55</v>
      </c>
      <c r="U46" s="106">
        <v>45454</v>
      </c>
      <c r="W46" s="24">
        <v>45448</v>
      </c>
      <c r="X46" s="9"/>
      <c r="Y46" s="9"/>
      <c r="Z46" s="113"/>
      <c r="AA46" s="113"/>
      <c r="AB46" s="113"/>
    </row>
    <row r="47" spans="1:34">
      <c r="A47" s="102">
        <v>919</v>
      </c>
      <c r="B47" s="131" t="s">
        <v>54</v>
      </c>
      <c r="C47" s="3" t="s">
        <v>24</v>
      </c>
      <c r="D47" s="113"/>
      <c r="E47" s="113"/>
      <c r="F47" s="113"/>
      <c r="G47" s="51" t="s">
        <v>53</v>
      </c>
      <c r="H47" s="1" t="str">
        <f t="shared" si="0"/>
        <v>Cow</v>
      </c>
      <c r="I47" s="1">
        <v>40</v>
      </c>
      <c r="J47" s="105">
        <v>45145</v>
      </c>
      <c r="K47" s="105"/>
      <c r="L47" s="50" t="s">
        <v>26</v>
      </c>
      <c r="M47" s="14">
        <v>13</v>
      </c>
      <c r="N47" s="131" t="s">
        <v>54</v>
      </c>
      <c r="O47" s="3" t="s">
        <v>24</v>
      </c>
      <c r="P47" s="113"/>
      <c r="Q47" s="113"/>
      <c r="R47" s="113"/>
      <c r="S47" s="1" t="s">
        <v>25</v>
      </c>
      <c r="T47" s="1" t="s">
        <v>55</v>
      </c>
      <c r="U47" s="106">
        <v>45454</v>
      </c>
      <c r="W47" s="24">
        <v>45448</v>
      </c>
      <c r="X47" s="9"/>
      <c r="Y47" s="9"/>
      <c r="Z47" s="113"/>
      <c r="AA47" s="113"/>
      <c r="AB47" s="113"/>
    </row>
    <row r="48" spans="1:34" ht="15">
      <c r="A48" s="102">
        <v>935</v>
      </c>
      <c r="B48" s="131" t="s">
        <v>54</v>
      </c>
      <c r="C48" s="3" t="s">
        <v>24</v>
      </c>
      <c r="D48" s="113"/>
      <c r="E48" s="113"/>
      <c r="F48" s="113"/>
      <c r="G48" s="51" t="s">
        <v>53</v>
      </c>
      <c r="H48" s="1" t="str">
        <f t="shared" si="0"/>
        <v>Cow</v>
      </c>
      <c r="I48" s="1">
        <v>40</v>
      </c>
      <c r="J48" s="105">
        <v>45145</v>
      </c>
      <c r="K48" s="105"/>
      <c r="L48" s="50" t="s">
        <v>26</v>
      </c>
      <c r="M48" s="14">
        <v>14</v>
      </c>
      <c r="N48" s="131" t="s">
        <v>54</v>
      </c>
      <c r="O48" s="3" t="s">
        <v>24</v>
      </c>
      <c r="P48" s="113"/>
      <c r="Q48" s="113"/>
      <c r="R48" s="113"/>
      <c r="S48" s="1" t="s">
        <v>25</v>
      </c>
      <c r="T48" s="1" t="s">
        <v>55</v>
      </c>
      <c r="U48" s="106">
        <v>45454</v>
      </c>
      <c r="W48" s="24">
        <v>45449</v>
      </c>
      <c r="X48" s="9"/>
      <c r="Y48" s="9"/>
      <c r="Z48" s="113"/>
      <c r="AA48" s="113"/>
      <c r="AB48" s="113"/>
      <c r="AH48" s="103" t="s">
        <v>57</v>
      </c>
    </row>
    <row r="49" spans="1:28">
      <c r="A49" s="102">
        <v>925</v>
      </c>
      <c r="B49" s="131" t="s">
        <v>54</v>
      </c>
      <c r="C49" s="3" t="s">
        <v>24</v>
      </c>
      <c r="D49" s="113"/>
      <c r="E49" s="113"/>
      <c r="F49" s="113"/>
      <c r="G49" s="51" t="s">
        <v>53</v>
      </c>
      <c r="H49" s="1" t="str">
        <f t="shared" si="0"/>
        <v>Cow</v>
      </c>
      <c r="I49" s="1">
        <v>40</v>
      </c>
      <c r="J49" s="105">
        <v>45145</v>
      </c>
      <c r="K49" s="105"/>
      <c r="L49" s="50" t="s">
        <v>26</v>
      </c>
      <c r="M49" s="14">
        <v>15</v>
      </c>
      <c r="N49" s="131" t="s">
        <v>54</v>
      </c>
      <c r="O49" s="3" t="s">
        <v>24</v>
      </c>
      <c r="P49" s="113"/>
      <c r="Q49" s="113"/>
      <c r="R49" s="113"/>
      <c r="S49" s="1" t="s">
        <v>25</v>
      </c>
      <c r="T49" s="1" t="s">
        <v>55</v>
      </c>
      <c r="U49" s="106">
        <v>45454</v>
      </c>
      <c r="W49" s="24">
        <v>45449</v>
      </c>
      <c r="X49" s="9"/>
      <c r="Y49" s="9"/>
      <c r="Z49" s="113"/>
      <c r="AA49" s="113"/>
      <c r="AB49" s="113"/>
    </row>
    <row r="50" spans="1:28">
      <c r="A50" s="102">
        <v>914</v>
      </c>
      <c r="B50" s="131" t="s">
        <v>54</v>
      </c>
      <c r="C50" s="3" t="s">
        <v>24</v>
      </c>
      <c r="D50" s="113"/>
      <c r="E50" s="113"/>
      <c r="F50" s="113"/>
      <c r="G50" s="51" t="s">
        <v>53</v>
      </c>
      <c r="H50" s="1" t="str">
        <f t="shared" si="0"/>
        <v>Cow</v>
      </c>
      <c r="I50" s="1">
        <v>40</v>
      </c>
      <c r="J50" s="105">
        <v>45145</v>
      </c>
      <c r="K50" s="105"/>
      <c r="L50" s="50" t="s">
        <v>26</v>
      </c>
      <c r="M50" s="14">
        <v>16</v>
      </c>
      <c r="N50" s="131" t="s">
        <v>54</v>
      </c>
      <c r="O50" s="3" t="s">
        <v>24</v>
      </c>
      <c r="P50" s="113"/>
      <c r="Q50" s="113"/>
      <c r="R50" s="113"/>
      <c r="S50" s="1" t="s">
        <v>25</v>
      </c>
      <c r="T50" s="1" t="s">
        <v>27</v>
      </c>
      <c r="U50" s="106">
        <v>45454</v>
      </c>
      <c r="W50" s="24">
        <v>45449</v>
      </c>
      <c r="X50" s="9"/>
      <c r="Y50" s="9"/>
      <c r="Z50" s="113"/>
      <c r="AA50" s="113"/>
      <c r="AB50" s="113"/>
    </row>
    <row r="51" spans="1:28">
      <c r="A51" s="102">
        <v>752</v>
      </c>
      <c r="B51" s="131" t="s">
        <v>54</v>
      </c>
      <c r="C51" s="3" t="s">
        <v>24</v>
      </c>
      <c r="D51" s="113"/>
      <c r="E51" s="113"/>
      <c r="F51" s="113"/>
      <c r="G51" s="51" t="s">
        <v>53</v>
      </c>
      <c r="H51" s="1" t="str">
        <f t="shared" si="0"/>
        <v>Cow</v>
      </c>
      <c r="I51" s="1">
        <v>100</v>
      </c>
      <c r="J51" s="105">
        <v>45145</v>
      </c>
      <c r="K51" s="105"/>
      <c r="L51" s="50" t="s">
        <v>26</v>
      </c>
      <c r="M51" s="14">
        <v>19</v>
      </c>
      <c r="N51" s="131" t="s">
        <v>54</v>
      </c>
      <c r="O51" s="3" t="s">
        <v>24</v>
      </c>
      <c r="P51" s="113"/>
      <c r="Q51" s="113"/>
      <c r="R51" s="113"/>
      <c r="S51" s="1" t="s">
        <v>25</v>
      </c>
      <c r="T51" s="1" t="s">
        <v>27</v>
      </c>
      <c r="U51" s="106">
        <v>45454</v>
      </c>
      <c r="W51" s="24">
        <v>45452</v>
      </c>
      <c r="X51" s="9"/>
      <c r="Y51" s="9"/>
      <c r="Z51" s="113"/>
      <c r="AA51" s="113"/>
      <c r="AB51" s="113"/>
    </row>
    <row r="52" spans="1:28">
      <c r="A52" s="102">
        <v>907</v>
      </c>
      <c r="B52" s="131" t="s">
        <v>54</v>
      </c>
      <c r="C52" s="3" t="s">
        <v>24</v>
      </c>
      <c r="D52" s="113"/>
      <c r="E52" s="113"/>
      <c r="F52" s="113"/>
      <c r="G52" s="51" t="s">
        <v>53</v>
      </c>
      <c r="H52" s="1" t="str">
        <f t="shared" si="0"/>
        <v>Cow</v>
      </c>
      <c r="I52" s="1">
        <v>50</v>
      </c>
      <c r="J52" s="105">
        <v>45145</v>
      </c>
      <c r="K52" s="105"/>
      <c r="L52" s="50" t="s">
        <v>26</v>
      </c>
      <c r="M52" s="14">
        <v>20</v>
      </c>
      <c r="N52" s="131" t="s">
        <v>54</v>
      </c>
      <c r="O52" s="3" t="s">
        <v>24</v>
      </c>
      <c r="P52" s="113"/>
      <c r="Q52" s="113"/>
      <c r="R52" s="113"/>
      <c r="S52" s="1" t="s">
        <v>25</v>
      </c>
      <c r="T52" s="1" t="s">
        <v>27</v>
      </c>
      <c r="U52" s="106">
        <v>45454</v>
      </c>
      <c r="W52" s="24">
        <v>45453</v>
      </c>
      <c r="X52" s="9"/>
      <c r="Y52" s="9"/>
      <c r="Z52" s="113"/>
      <c r="AA52" s="113"/>
      <c r="AB52" s="113"/>
    </row>
    <row r="53" spans="1:28">
      <c r="A53" s="102">
        <v>714</v>
      </c>
      <c r="B53" s="131" t="s">
        <v>54</v>
      </c>
      <c r="C53" s="3" t="s">
        <v>24</v>
      </c>
      <c r="D53" s="113"/>
      <c r="E53" s="113"/>
      <c r="F53" s="113"/>
      <c r="G53" s="51" t="s">
        <v>53</v>
      </c>
      <c r="H53" s="1" t="str">
        <f t="shared" si="0"/>
        <v>Cow</v>
      </c>
      <c r="I53" s="1">
        <v>112</v>
      </c>
      <c r="J53" s="105">
        <v>45145</v>
      </c>
      <c r="K53" s="105"/>
      <c r="L53" s="50" t="s">
        <v>26</v>
      </c>
      <c r="M53" s="14">
        <v>21</v>
      </c>
      <c r="N53" s="131" t="s">
        <v>54</v>
      </c>
      <c r="O53" s="3" t="s">
        <v>24</v>
      </c>
      <c r="P53" s="113"/>
      <c r="Q53" s="113"/>
      <c r="R53" s="113"/>
      <c r="S53" s="1" t="s">
        <v>25</v>
      </c>
      <c r="T53" s="1" t="s">
        <v>27</v>
      </c>
      <c r="U53" s="106">
        <v>45454</v>
      </c>
      <c r="W53" s="24">
        <v>45453</v>
      </c>
      <c r="X53" s="9"/>
      <c r="Y53" s="9"/>
      <c r="Z53" s="113"/>
      <c r="AA53" s="113"/>
      <c r="AB53" s="113"/>
    </row>
    <row r="54" spans="1:28">
      <c r="A54" s="102">
        <v>922</v>
      </c>
      <c r="B54" s="131" t="s">
        <v>54</v>
      </c>
      <c r="C54" s="3" t="s">
        <v>24</v>
      </c>
      <c r="D54" s="113"/>
      <c r="E54" s="113"/>
      <c r="F54" s="113"/>
      <c r="G54" s="51" t="s">
        <v>53</v>
      </c>
      <c r="H54" s="1" t="str">
        <f t="shared" si="0"/>
        <v>Cow</v>
      </c>
      <c r="I54" s="1">
        <v>40</v>
      </c>
      <c r="J54" s="105">
        <v>45145</v>
      </c>
      <c r="K54" s="105"/>
      <c r="L54" s="50" t="s">
        <v>26</v>
      </c>
      <c r="M54" s="14">
        <v>22</v>
      </c>
      <c r="N54" s="131" t="s">
        <v>54</v>
      </c>
      <c r="O54" s="3" t="s">
        <v>24</v>
      </c>
      <c r="P54" s="113"/>
      <c r="Q54" s="113"/>
      <c r="R54" s="113"/>
      <c r="S54" s="1" t="s">
        <v>25</v>
      </c>
      <c r="T54" s="1" t="s">
        <v>55</v>
      </c>
      <c r="U54" s="106">
        <v>45461</v>
      </c>
      <c r="W54" s="24" t="s">
        <v>58</v>
      </c>
      <c r="X54" s="9"/>
      <c r="Y54" s="9"/>
      <c r="Z54" s="113"/>
      <c r="AA54" s="113"/>
      <c r="AB54" s="113"/>
    </row>
    <row r="55" spans="1:28">
      <c r="A55" s="102">
        <v>691</v>
      </c>
      <c r="B55" s="131" t="s">
        <v>54</v>
      </c>
      <c r="C55" s="4" t="s">
        <v>29</v>
      </c>
      <c r="D55" s="113"/>
      <c r="E55" s="113"/>
      <c r="F55" s="113"/>
      <c r="G55" s="51" t="s">
        <v>53</v>
      </c>
      <c r="H55" s="1" t="str">
        <f t="shared" si="0"/>
        <v>Cow</v>
      </c>
      <c r="I55" s="1">
        <v>124</v>
      </c>
      <c r="J55" s="105">
        <v>45145</v>
      </c>
      <c r="K55" s="105"/>
      <c r="L55" s="50" t="s">
        <v>34</v>
      </c>
      <c r="M55" s="14"/>
      <c r="N55" s="131"/>
      <c r="O55" s="113"/>
      <c r="P55" s="113"/>
      <c r="Q55" s="113"/>
      <c r="R55" s="113"/>
      <c r="W55" s="24"/>
      <c r="X55" s="9"/>
      <c r="Y55" s="9"/>
      <c r="Z55" s="113"/>
      <c r="AA55" s="113"/>
      <c r="AB55" s="113"/>
    </row>
    <row r="56" spans="1:28">
      <c r="A56" s="102">
        <v>865</v>
      </c>
      <c r="B56" s="131" t="s">
        <v>54</v>
      </c>
      <c r="C56" s="4" t="s">
        <v>29</v>
      </c>
      <c r="D56" s="113"/>
      <c r="E56" s="113"/>
      <c r="F56" s="113"/>
      <c r="G56" s="51" t="s">
        <v>53</v>
      </c>
      <c r="H56" s="1" t="str">
        <f t="shared" si="0"/>
        <v>Cow</v>
      </c>
      <c r="I56" s="1">
        <v>64</v>
      </c>
      <c r="J56" s="105">
        <v>45145</v>
      </c>
      <c r="K56" s="105"/>
      <c r="L56" s="50" t="s">
        <v>26</v>
      </c>
      <c r="M56" s="14">
        <v>23</v>
      </c>
      <c r="N56" s="131" t="s">
        <v>54</v>
      </c>
      <c r="O56" s="3" t="s">
        <v>24</v>
      </c>
      <c r="P56" s="113"/>
      <c r="Q56" s="113"/>
      <c r="R56" s="113"/>
      <c r="S56" s="1" t="s">
        <v>25</v>
      </c>
      <c r="T56" s="1" t="s">
        <v>55</v>
      </c>
      <c r="U56" s="106">
        <v>45461</v>
      </c>
      <c r="W56" s="25" t="s">
        <v>59</v>
      </c>
      <c r="X56" s="9"/>
      <c r="Y56" s="9"/>
      <c r="Z56" s="113"/>
      <c r="AA56" s="113"/>
      <c r="AB56" s="113"/>
    </row>
    <row r="57" spans="1:28">
      <c r="A57" s="102">
        <v>936</v>
      </c>
      <c r="B57" s="131" t="s">
        <v>54</v>
      </c>
      <c r="C57" s="3" t="s">
        <v>24</v>
      </c>
      <c r="D57" s="113"/>
      <c r="E57" s="113"/>
      <c r="F57" s="113"/>
      <c r="G57" s="51" t="s">
        <v>53</v>
      </c>
      <c r="H57" s="1" t="str">
        <f t="shared" si="0"/>
        <v>Cow</v>
      </c>
      <c r="I57" s="1">
        <v>40</v>
      </c>
      <c r="J57" s="105">
        <v>45145</v>
      </c>
      <c r="K57" s="105"/>
      <c r="L57" s="50" t="s">
        <v>26</v>
      </c>
      <c r="M57" s="14">
        <v>24</v>
      </c>
      <c r="N57" s="131" t="s">
        <v>54</v>
      </c>
      <c r="O57" s="3" t="s">
        <v>24</v>
      </c>
      <c r="P57" s="113"/>
      <c r="Q57" s="113"/>
      <c r="R57" s="113"/>
      <c r="S57" s="1" t="s">
        <v>25</v>
      </c>
      <c r="T57" s="1" t="s">
        <v>55</v>
      </c>
      <c r="U57" s="106">
        <v>45461</v>
      </c>
      <c r="W57" s="25" t="s">
        <v>60</v>
      </c>
      <c r="X57" s="9"/>
      <c r="Y57" s="9"/>
      <c r="Z57" s="113"/>
      <c r="AA57" s="113"/>
      <c r="AB57" s="113"/>
    </row>
    <row r="58" spans="1:28">
      <c r="A58" s="102">
        <v>932</v>
      </c>
      <c r="B58" s="131" t="s">
        <v>54</v>
      </c>
      <c r="C58" s="3" t="s">
        <v>24</v>
      </c>
      <c r="D58" s="113"/>
      <c r="E58" s="113"/>
      <c r="F58" s="113"/>
      <c r="G58" s="51" t="s">
        <v>53</v>
      </c>
      <c r="H58" s="1" t="str">
        <f t="shared" si="0"/>
        <v>Cow</v>
      </c>
      <c r="I58" s="1">
        <v>40</v>
      </c>
      <c r="J58" s="105">
        <v>45145</v>
      </c>
      <c r="K58" s="105"/>
      <c r="L58" s="50" t="s">
        <v>26</v>
      </c>
      <c r="M58" s="14">
        <v>26</v>
      </c>
      <c r="N58" s="131" t="s">
        <v>54</v>
      </c>
      <c r="O58" s="3" t="s">
        <v>24</v>
      </c>
      <c r="P58" s="113"/>
      <c r="Q58" s="113"/>
      <c r="R58" s="113"/>
      <c r="S58" s="1" t="s">
        <v>25</v>
      </c>
      <c r="T58" s="1" t="s">
        <v>55</v>
      </c>
      <c r="U58" s="106">
        <v>45461</v>
      </c>
      <c r="W58" s="25" t="s">
        <v>61</v>
      </c>
      <c r="X58" s="9"/>
      <c r="Y58" s="9"/>
      <c r="Z58" s="113"/>
      <c r="AA58" s="113"/>
      <c r="AB58" s="113"/>
    </row>
    <row r="59" spans="1:28">
      <c r="A59" s="102">
        <v>814</v>
      </c>
      <c r="B59" s="131" t="s">
        <v>54</v>
      </c>
      <c r="C59" s="4" t="s">
        <v>29</v>
      </c>
      <c r="D59" s="113"/>
      <c r="E59" s="113"/>
      <c r="F59" s="113"/>
      <c r="G59" s="51" t="s">
        <v>53</v>
      </c>
      <c r="H59" s="1" t="str">
        <f t="shared" si="0"/>
        <v>Cow</v>
      </c>
      <c r="I59" s="1">
        <v>76</v>
      </c>
      <c r="J59" s="105">
        <v>45145</v>
      </c>
      <c r="K59" s="105"/>
      <c r="L59" s="50" t="s">
        <v>26</v>
      </c>
      <c r="M59" s="14">
        <v>28</v>
      </c>
      <c r="N59" s="131" t="s">
        <v>54</v>
      </c>
      <c r="O59" s="3" t="s">
        <v>24</v>
      </c>
      <c r="P59" s="113"/>
      <c r="Q59" s="113"/>
      <c r="R59" s="113"/>
      <c r="S59" s="1" t="s">
        <v>25</v>
      </c>
      <c r="T59" s="1" t="s">
        <v>55</v>
      </c>
      <c r="U59" s="106">
        <v>45461</v>
      </c>
      <c r="W59" s="25" t="s">
        <v>61</v>
      </c>
      <c r="X59" s="9"/>
      <c r="Y59" s="9"/>
      <c r="Z59" s="113"/>
      <c r="AA59" s="113"/>
      <c r="AB59" s="113"/>
    </row>
    <row r="60" spans="1:28">
      <c r="A60" s="102">
        <v>904</v>
      </c>
      <c r="B60" s="131" t="s">
        <v>54</v>
      </c>
      <c r="C60" s="3" t="s">
        <v>24</v>
      </c>
      <c r="D60" s="113"/>
      <c r="E60" s="113"/>
      <c r="F60" s="113"/>
      <c r="G60" s="51" t="s">
        <v>53</v>
      </c>
      <c r="H60" s="1" t="str">
        <f t="shared" si="0"/>
        <v>Cow</v>
      </c>
      <c r="I60" s="1">
        <v>51</v>
      </c>
      <c r="J60" s="105">
        <v>45145</v>
      </c>
      <c r="K60" s="105"/>
      <c r="L60" s="50" t="s">
        <v>26</v>
      </c>
      <c r="M60" s="14">
        <v>31</v>
      </c>
      <c r="N60" s="131" t="s">
        <v>54</v>
      </c>
      <c r="O60" s="3" t="s">
        <v>24</v>
      </c>
      <c r="P60" s="113"/>
      <c r="Q60" s="113"/>
      <c r="R60" s="113"/>
      <c r="S60" s="1" t="s">
        <v>25</v>
      </c>
      <c r="T60" s="1" t="s">
        <v>55</v>
      </c>
      <c r="U60" s="106">
        <v>45468</v>
      </c>
      <c r="W60" s="25" t="s">
        <v>62</v>
      </c>
      <c r="X60" s="9"/>
      <c r="Y60" s="9"/>
      <c r="Z60" s="113"/>
      <c r="AA60" s="113"/>
      <c r="AB60" s="113"/>
    </row>
    <row r="61" spans="1:28">
      <c r="A61" s="102">
        <v>653</v>
      </c>
      <c r="B61" s="131" t="s">
        <v>54</v>
      </c>
      <c r="C61" s="3" t="s">
        <v>24</v>
      </c>
      <c r="D61" s="113"/>
      <c r="E61" s="113"/>
      <c r="F61" s="113"/>
      <c r="G61" s="51" t="s">
        <v>53</v>
      </c>
      <c r="H61" s="1" t="str">
        <f t="shared" si="0"/>
        <v>Cow</v>
      </c>
      <c r="I61" s="1">
        <v>136</v>
      </c>
      <c r="J61" s="105">
        <v>45145</v>
      </c>
      <c r="K61" s="105"/>
      <c r="L61" s="50" t="s">
        <v>26</v>
      </c>
      <c r="M61" s="14">
        <v>32</v>
      </c>
      <c r="N61" s="131" t="s">
        <v>54</v>
      </c>
      <c r="O61" s="4" t="s">
        <v>29</v>
      </c>
      <c r="P61" s="113"/>
      <c r="Q61" s="113"/>
      <c r="R61" s="113"/>
      <c r="S61" s="1" t="s">
        <v>25</v>
      </c>
      <c r="T61" s="1" t="s">
        <v>31</v>
      </c>
      <c r="U61" s="106">
        <v>45468</v>
      </c>
      <c r="W61" s="25" t="s">
        <v>62</v>
      </c>
      <c r="X61" s="9"/>
      <c r="Y61" s="9"/>
      <c r="Z61" s="113"/>
      <c r="AA61" s="113"/>
      <c r="AB61" s="113"/>
    </row>
    <row r="62" spans="1:28">
      <c r="A62" s="102">
        <v>903</v>
      </c>
      <c r="B62" s="131" t="s">
        <v>54</v>
      </c>
      <c r="C62" s="3" t="s">
        <v>24</v>
      </c>
      <c r="D62" s="113"/>
      <c r="E62" s="113"/>
      <c r="F62" s="113"/>
      <c r="G62" s="51" t="s">
        <v>53</v>
      </c>
      <c r="H62" s="1" t="str">
        <f t="shared" si="0"/>
        <v>Cow</v>
      </c>
      <c r="I62" s="1">
        <v>51</v>
      </c>
      <c r="J62" s="105">
        <v>45145</v>
      </c>
      <c r="K62" s="105"/>
      <c r="M62" s="14"/>
      <c r="N62" s="131"/>
      <c r="O62" s="113"/>
      <c r="P62" s="113"/>
      <c r="Q62" s="113"/>
      <c r="R62" s="113"/>
      <c r="W62" s="25"/>
      <c r="X62" s="9"/>
      <c r="Y62" s="9"/>
      <c r="Z62" s="113"/>
      <c r="AA62" s="113"/>
      <c r="AB62" s="113"/>
    </row>
    <row r="63" spans="1:28">
      <c r="A63" s="102">
        <v>886</v>
      </c>
      <c r="B63" s="131" t="s">
        <v>54</v>
      </c>
      <c r="C63" s="3" t="s">
        <v>24</v>
      </c>
      <c r="D63" s="113"/>
      <c r="E63" s="113"/>
      <c r="F63" s="113"/>
      <c r="G63" s="51" t="s">
        <v>53</v>
      </c>
      <c r="H63" s="1" t="str">
        <f t="shared" si="0"/>
        <v>Cow</v>
      </c>
      <c r="I63" s="1">
        <v>52</v>
      </c>
      <c r="J63" s="105">
        <v>45145</v>
      </c>
      <c r="K63" s="105"/>
      <c r="L63" s="50" t="s">
        <v>26</v>
      </c>
      <c r="M63" s="14">
        <v>33</v>
      </c>
      <c r="N63" s="131" t="s">
        <v>54</v>
      </c>
      <c r="O63" s="4" t="s">
        <v>29</v>
      </c>
      <c r="P63" s="113"/>
      <c r="Q63" s="113"/>
      <c r="R63" s="113"/>
      <c r="S63" s="1" t="s">
        <v>25</v>
      </c>
      <c r="T63" s="1" t="s">
        <v>31</v>
      </c>
      <c r="U63" s="106">
        <v>45468</v>
      </c>
      <c r="W63" s="25" t="s">
        <v>63</v>
      </c>
      <c r="X63" s="9"/>
      <c r="Y63" s="9"/>
      <c r="Z63" s="113"/>
      <c r="AA63" s="113"/>
      <c r="AB63" s="113"/>
    </row>
    <row r="64" spans="1:28">
      <c r="A64" s="102">
        <v>802</v>
      </c>
      <c r="B64" s="131" t="s">
        <v>54</v>
      </c>
      <c r="C64" s="3" t="s">
        <v>24</v>
      </c>
      <c r="D64" s="113"/>
      <c r="E64" s="113"/>
      <c r="F64" s="113"/>
      <c r="G64" s="51" t="s">
        <v>53</v>
      </c>
      <c r="H64" s="1" t="str">
        <f t="shared" si="0"/>
        <v>Cow</v>
      </c>
      <c r="I64" s="1">
        <v>88</v>
      </c>
      <c r="J64" s="105">
        <v>45145</v>
      </c>
      <c r="K64" s="105"/>
      <c r="L64" s="50" t="s">
        <v>26</v>
      </c>
      <c r="M64" s="14">
        <v>34</v>
      </c>
      <c r="N64" s="131" t="s">
        <v>54</v>
      </c>
      <c r="O64" s="3" t="s">
        <v>24</v>
      </c>
      <c r="P64" s="113"/>
      <c r="Q64" s="113"/>
      <c r="R64" s="113"/>
      <c r="S64" s="1" t="s">
        <v>25</v>
      </c>
      <c r="T64" s="1" t="s">
        <v>31</v>
      </c>
      <c r="U64" s="106">
        <v>45475</v>
      </c>
      <c r="W64" s="25" t="s">
        <v>64</v>
      </c>
      <c r="X64" s="9"/>
      <c r="Y64" s="9"/>
      <c r="Z64" s="113"/>
      <c r="AA64" s="113"/>
      <c r="AB64" s="113"/>
    </row>
    <row r="65" spans="1:34">
      <c r="A65" s="102">
        <v>913</v>
      </c>
      <c r="B65" s="131" t="s">
        <v>54</v>
      </c>
      <c r="C65" s="3" t="s">
        <v>24</v>
      </c>
      <c r="D65" s="113"/>
      <c r="E65" s="113"/>
      <c r="F65" s="113"/>
      <c r="G65" s="51" t="s">
        <v>53</v>
      </c>
      <c r="H65" s="1" t="str">
        <f t="shared" si="0"/>
        <v>Cow</v>
      </c>
      <c r="I65" s="1">
        <v>40</v>
      </c>
      <c r="J65" s="105">
        <v>45145</v>
      </c>
      <c r="K65" s="105"/>
      <c r="M65" s="14"/>
      <c r="N65" s="131"/>
      <c r="O65" s="113"/>
      <c r="P65" s="113"/>
      <c r="Q65" s="113"/>
      <c r="R65" s="113"/>
      <c r="W65" s="25"/>
      <c r="X65" s="9"/>
      <c r="Y65" s="9"/>
      <c r="Z65" s="113"/>
      <c r="AA65" s="113"/>
      <c r="AB65" s="113"/>
    </row>
    <row r="66" spans="1:34">
      <c r="A66" s="102">
        <v>835</v>
      </c>
      <c r="B66" s="131" t="s">
        <v>54</v>
      </c>
      <c r="C66" s="3" t="s">
        <v>24</v>
      </c>
      <c r="E66" s="6" t="s">
        <v>46</v>
      </c>
      <c r="G66" s="51" t="s">
        <v>53</v>
      </c>
      <c r="H66" s="1" t="str">
        <f t="shared" si="0"/>
        <v>Cow</v>
      </c>
      <c r="I66" s="1">
        <v>76</v>
      </c>
      <c r="J66" s="105">
        <v>45145</v>
      </c>
      <c r="K66" s="114">
        <v>45504</v>
      </c>
      <c r="L66" s="50" t="s">
        <v>26</v>
      </c>
      <c r="M66" s="101">
        <v>38</v>
      </c>
      <c r="N66" s="10" t="s">
        <v>54</v>
      </c>
      <c r="O66" s="3" t="s">
        <v>24</v>
      </c>
      <c r="T66" s="1" t="s">
        <v>27</v>
      </c>
      <c r="W66" s="115">
        <v>45504</v>
      </c>
    </row>
    <row r="67" spans="1:34">
      <c r="A67" s="102">
        <v>895</v>
      </c>
      <c r="B67" s="131" t="s">
        <v>54</v>
      </c>
      <c r="C67" s="3" t="s">
        <v>24</v>
      </c>
      <c r="E67" s="3" t="s">
        <v>24</v>
      </c>
      <c r="G67" s="51" t="s">
        <v>53</v>
      </c>
      <c r="H67" s="1" t="str">
        <f t="shared" si="0"/>
        <v>Cow</v>
      </c>
      <c r="I67" s="1">
        <v>52</v>
      </c>
      <c r="J67" s="105">
        <v>45145</v>
      </c>
      <c r="K67" s="114">
        <v>45506</v>
      </c>
      <c r="M67" s="101">
        <v>39</v>
      </c>
      <c r="N67" s="10" t="s">
        <v>54</v>
      </c>
      <c r="O67" s="3" t="s">
        <v>24</v>
      </c>
      <c r="T67" s="1" t="s">
        <v>27</v>
      </c>
      <c r="W67" s="115">
        <v>45506</v>
      </c>
    </row>
    <row r="68" spans="1:34">
      <c r="A68" s="102">
        <v>857</v>
      </c>
      <c r="B68" s="131" t="s">
        <v>54</v>
      </c>
      <c r="C68" s="3" t="s">
        <v>24</v>
      </c>
      <c r="D68" s="113"/>
      <c r="E68" s="113"/>
      <c r="F68" s="113"/>
      <c r="G68" s="51" t="s">
        <v>53</v>
      </c>
      <c r="H68" s="1" t="str">
        <f t="shared" si="0"/>
        <v>Cow</v>
      </c>
      <c r="I68" s="1">
        <v>64</v>
      </c>
      <c r="J68" s="105">
        <v>45145</v>
      </c>
      <c r="K68" s="105"/>
      <c r="L68" s="50" t="s">
        <v>26</v>
      </c>
      <c r="M68" s="14" t="s">
        <v>65</v>
      </c>
      <c r="N68" s="131" t="s">
        <v>54</v>
      </c>
      <c r="O68" s="3" t="s">
        <v>24</v>
      </c>
      <c r="P68" s="113"/>
      <c r="Q68" s="113"/>
      <c r="R68" s="113"/>
      <c r="S68" s="1" t="s">
        <v>25</v>
      </c>
      <c r="T68" s="1" t="s">
        <v>31</v>
      </c>
      <c r="U68" s="106">
        <v>45482</v>
      </c>
      <c r="W68" s="24"/>
      <c r="X68" s="9"/>
      <c r="Y68" s="9"/>
      <c r="Z68" s="113"/>
      <c r="AA68" s="113"/>
      <c r="AB68" s="113"/>
    </row>
    <row r="69" spans="1:34">
      <c r="A69" s="102">
        <v>910</v>
      </c>
      <c r="B69" s="131" t="s">
        <v>54</v>
      </c>
      <c r="C69" s="3" t="s">
        <v>24</v>
      </c>
      <c r="D69" s="113"/>
      <c r="E69" s="113"/>
      <c r="F69" s="113"/>
      <c r="G69" s="51" t="s">
        <v>53</v>
      </c>
      <c r="H69" s="1" t="str">
        <f t="shared" si="0"/>
        <v>Cow</v>
      </c>
      <c r="I69" s="1">
        <v>41</v>
      </c>
      <c r="J69" s="105">
        <v>45145</v>
      </c>
      <c r="K69" s="105"/>
      <c r="L69" s="50" t="s">
        <v>26</v>
      </c>
      <c r="M69" s="14" t="s">
        <v>66</v>
      </c>
      <c r="N69" s="131" t="s">
        <v>54</v>
      </c>
      <c r="O69" s="3" t="s">
        <v>24</v>
      </c>
      <c r="P69" s="113"/>
      <c r="Q69" s="113"/>
      <c r="R69" s="113"/>
      <c r="S69" s="1" t="s">
        <v>25</v>
      </c>
      <c r="T69" s="1" t="s">
        <v>31</v>
      </c>
      <c r="U69" s="106">
        <v>45454</v>
      </c>
      <c r="W69" s="24">
        <v>45447</v>
      </c>
      <c r="X69" s="9"/>
      <c r="Y69" s="9"/>
      <c r="Z69" s="113"/>
      <c r="AA69" s="113"/>
      <c r="AB69" s="113"/>
    </row>
    <row r="70" spans="1:34">
      <c r="A70" s="102">
        <v>937</v>
      </c>
      <c r="B70" s="131" t="s">
        <v>54</v>
      </c>
      <c r="C70" s="3" t="s">
        <v>24</v>
      </c>
      <c r="D70" s="113"/>
      <c r="E70" s="113"/>
      <c r="F70" s="113"/>
      <c r="G70" s="51" t="s">
        <v>53</v>
      </c>
      <c r="H70" s="1" t="str">
        <f t="shared" si="0"/>
        <v>Cow</v>
      </c>
      <c r="I70" s="1">
        <v>39</v>
      </c>
      <c r="J70" s="105">
        <v>45145</v>
      </c>
      <c r="K70" s="105"/>
      <c r="L70" s="50" t="s">
        <v>26</v>
      </c>
      <c r="M70" s="14" t="s">
        <v>67</v>
      </c>
      <c r="N70" s="131" t="s">
        <v>54</v>
      </c>
      <c r="O70" s="3" t="s">
        <v>24</v>
      </c>
      <c r="P70" s="113"/>
      <c r="Q70" s="113"/>
      <c r="R70" s="113"/>
      <c r="S70" s="1" t="s">
        <v>25</v>
      </c>
      <c r="T70" s="1" t="s">
        <v>31</v>
      </c>
      <c r="W70" s="24">
        <v>45450</v>
      </c>
      <c r="X70" s="9"/>
      <c r="Y70" s="9"/>
      <c r="Z70" s="113"/>
      <c r="AA70" s="113"/>
      <c r="AB70" s="113"/>
    </row>
    <row r="71" spans="1:34">
      <c r="A71" s="102">
        <v>757</v>
      </c>
      <c r="B71" s="131" t="s">
        <v>54</v>
      </c>
      <c r="C71" s="4" t="s">
        <v>29</v>
      </c>
      <c r="D71" s="113"/>
      <c r="E71" s="113"/>
      <c r="F71" s="113"/>
      <c r="G71" s="51" t="s">
        <v>53</v>
      </c>
      <c r="H71" s="1" t="str">
        <f t="shared" si="0"/>
        <v>Cow</v>
      </c>
      <c r="I71" s="1">
        <v>100</v>
      </c>
      <c r="J71" s="105">
        <v>45145</v>
      </c>
      <c r="K71" s="105"/>
      <c r="L71" s="50" t="s">
        <v>26</v>
      </c>
      <c r="M71" s="14" t="s">
        <v>68</v>
      </c>
      <c r="N71" s="131" t="s">
        <v>54</v>
      </c>
      <c r="O71" s="3" t="s">
        <v>24</v>
      </c>
      <c r="P71" s="113"/>
      <c r="Q71" s="113"/>
      <c r="R71" s="113"/>
      <c r="S71" s="1" t="s">
        <v>25</v>
      </c>
      <c r="T71" s="1" t="s">
        <v>31</v>
      </c>
      <c r="U71" s="106">
        <v>45461</v>
      </c>
      <c r="W71" s="25" t="s">
        <v>69</v>
      </c>
      <c r="X71" s="9"/>
      <c r="Y71" s="9"/>
      <c r="Z71" s="113"/>
      <c r="AA71" s="113"/>
      <c r="AB71" s="113"/>
    </row>
    <row r="72" spans="1:34">
      <c r="A72" s="102">
        <v>894</v>
      </c>
      <c r="B72" s="131" t="s">
        <v>54</v>
      </c>
      <c r="C72" s="3" t="s">
        <v>24</v>
      </c>
      <c r="D72" s="113"/>
      <c r="E72" s="113"/>
      <c r="F72" s="113"/>
      <c r="G72" s="51" t="s">
        <v>53</v>
      </c>
      <c r="H72" s="1" t="str">
        <f t="shared" si="0"/>
        <v>Cow</v>
      </c>
      <c r="I72" s="1">
        <v>52</v>
      </c>
      <c r="J72" s="105">
        <v>45145</v>
      </c>
      <c r="K72" s="105"/>
      <c r="L72" s="50" t="s">
        <v>26</v>
      </c>
      <c r="M72" s="14" t="s">
        <v>70</v>
      </c>
      <c r="N72" s="131" t="s">
        <v>54</v>
      </c>
      <c r="O72" s="3" t="s">
        <v>24</v>
      </c>
      <c r="P72" s="113"/>
      <c r="Q72" s="113"/>
      <c r="R72" s="113"/>
      <c r="S72" s="1" t="s">
        <v>25</v>
      </c>
      <c r="T72" s="1" t="s">
        <v>31</v>
      </c>
      <c r="U72" s="106">
        <v>45461</v>
      </c>
      <c r="W72" s="25" t="s">
        <v>69</v>
      </c>
      <c r="X72" s="9"/>
      <c r="Y72" s="9"/>
      <c r="Z72" s="113"/>
      <c r="AA72" s="113"/>
      <c r="AB72" s="113"/>
    </row>
    <row r="73" spans="1:34">
      <c r="A73" s="102">
        <v>709</v>
      </c>
      <c r="B73" s="131" t="s">
        <v>54</v>
      </c>
      <c r="C73" s="4" t="s">
        <v>29</v>
      </c>
      <c r="D73" s="113"/>
      <c r="E73" s="113"/>
      <c r="F73" s="113"/>
      <c r="G73" s="51" t="s">
        <v>53</v>
      </c>
      <c r="H73" s="1" t="str">
        <f t="shared" si="0"/>
        <v>Cow</v>
      </c>
      <c r="I73" s="1">
        <v>122</v>
      </c>
      <c r="J73" s="105">
        <v>45145</v>
      </c>
      <c r="K73" s="105"/>
      <c r="L73" s="50" t="s">
        <v>26</v>
      </c>
      <c r="M73" s="14" t="s">
        <v>71</v>
      </c>
      <c r="N73" s="131" t="s">
        <v>54</v>
      </c>
      <c r="O73" s="4" t="s">
        <v>29</v>
      </c>
      <c r="P73" s="113"/>
      <c r="Q73" s="113"/>
      <c r="R73" s="113"/>
      <c r="S73" s="1" t="s">
        <v>25</v>
      </c>
      <c r="T73" s="1" t="s">
        <v>31</v>
      </c>
      <c r="U73" s="106">
        <v>45468</v>
      </c>
      <c r="W73" s="25" t="s">
        <v>62</v>
      </c>
      <c r="X73" s="9"/>
      <c r="Y73" s="9"/>
      <c r="Z73" s="113"/>
      <c r="AA73" s="113"/>
      <c r="AB73" s="113"/>
      <c r="AH73" s="1"/>
    </row>
    <row r="74" spans="1:34">
      <c r="A74" s="102">
        <v>826</v>
      </c>
      <c r="B74" s="131" t="s">
        <v>54</v>
      </c>
      <c r="C74" s="3" t="s">
        <v>24</v>
      </c>
      <c r="D74" s="113"/>
      <c r="E74" s="113"/>
      <c r="F74" s="113"/>
      <c r="G74" s="51" t="s">
        <v>53</v>
      </c>
      <c r="J74" s="105">
        <v>45145</v>
      </c>
      <c r="K74" s="105"/>
      <c r="L74" s="50" t="s">
        <v>26</v>
      </c>
      <c r="M74" s="14" t="s">
        <v>72</v>
      </c>
      <c r="N74" s="131" t="s">
        <v>54</v>
      </c>
      <c r="O74" s="4" t="s">
        <v>29</v>
      </c>
      <c r="P74" s="113"/>
      <c r="Q74" s="113"/>
      <c r="R74" s="113"/>
      <c r="S74" s="1" t="s">
        <v>25</v>
      </c>
      <c r="T74" s="1" t="s">
        <v>31</v>
      </c>
      <c r="U74" s="106">
        <v>45468</v>
      </c>
      <c r="W74" s="25" t="s">
        <v>62</v>
      </c>
      <c r="X74" s="9"/>
      <c r="Y74" s="9"/>
      <c r="Z74" s="113"/>
      <c r="AA74" s="113"/>
      <c r="AB74" s="113"/>
      <c r="AH74" s="1"/>
    </row>
    <row r="75" spans="1:34">
      <c r="A75" s="102">
        <v>701</v>
      </c>
      <c r="B75" s="131" t="s">
        <v>54</v>
      </c>
      <c r="C75" s="3" t="s">
        <v>24</v>
      </c>
      <c r="D75" s="113"/>
      <c r="E75" s="113"/>
      <c r="F75" s="113"/>
      <c r="G75" s="51" t="s">
        <v>53</v>
      </c>
      <c r="H75" s="1" t="str">
        <f t="shared" ref="H75:H106" si="1">IF(I75 &lt; 24, "Heifer", "Cow")</f>
        <v>Cow</v>
      </c>
      <c r="I75" s="1">
        <v>123</v>
      </c>
      <c r="J75" s="105">
        <v>45145</v>
      </c>
      <c r="K75" s="105"/>
      <c r="L75" s="50" t="s">
        <v>26</v>
      </c>
      <c r="M75" s="14" t="s">
        <v>73</v>
      </c>
      <c r="N75" s="131" t="s">
        <v>54</v>
      </c>
      <c r="O75" s="3" t="s">
        <v>24</v>
      </c>
      <c r="P75" s="113"/>
      <c r="Q75" s="113"/>
      <c r="R75" s="113"/>
      <c r="S75" s="1" t="s">
        <v>25</v>
      </c>
      <c r="T75" s="1" t="s">
        <v>31</v>
      </c>
      <c r="U75" s="106">
        <v>45468</v>
      </c>
      <c r="W75" s="25" t="s">
        <v>63</v>
      </c>
      <c r="X75" s="9"/>
      <c r="Y75" s="9"/>
      <c r="Z75" s="113"/>
      <c r="AA75" s="113"/>
      <c r="AB75" s="113"/>
    </row>
    <row r="76" spans="1:34">
      <c r="A76" s="102">
        <v>896</v>
      </c>
      <c r="B76" s="131" t="s">
        <v>54</v>
      </c>
      <c r="C76" s="3" t="s">
        <v>24</v>
      </c>
      <c r="D76" s="113"/>
      <c r="E76" s="113"/>
      <c r="F76" s="113"/>
      <c r="G76" s="51" t="s">
        <v>53</v>
      </c>
      <c r="H76" s="1" t="str">
        <f t="shared" si="1"/>
        <v>Cow</v>
      </c>
      <c r="I76" s="1">
        <v>52</v>
      </c>
      <c r="J76" s="105">
        <v>45145</v>
      </c>
      <c r="K76" s="105"/>
      <c r="L76" s="50" t="s">
        <v>26</v>
      </c>
      <c r="M76" s="14" t="s">
        <v>74</v>
      </c>
      <c r="N76" s="131" t="s">
        <v>54</v>
      </c>
      <c r="O76" s="3" t="s">
        <v>24</v>
      </c>
      <c r="P76" s="113"/>
      <c r="Q76" s="113"/>
      <c r="R76" s="113"/>
      <c r="S76" s="1" t="s">
        <v>25</v>
      </c>
      <c r="T76" s="1" t="s">
        <v>31</v>
      </c>
      <c r="U76" s="106">
        <v>45468</v>
      </c>
      <c r="W76" s="25" t="s">
        <v>63</v>
      </c>
      <c r="X76" s="9"/>
      <c r="Y76" s="9"/>
      <c r="Z76" s="113"/>
      <c r="AA76" s="113"/>
      <c r="AB76" s="113"/>
    </row>
    <row r="77" spans="1:34">
      <c r="A77" s="102">
        <v>754</v>
      </c>
      <c r="B77" s="131" t="s">
        <v>54</v>
      </c>
      <c r="C77" s="3" t="s">
        <v>24</v>
      </c>
      <c r="D77" s="113"/>
      <c r="E77" s="113"/>
      <c r="F77" s="113"/>
      <c r="G77" s="51" t="s">
        <v>53</v>
      </c>
      <c r="H77" s="1" t="str">
        <f t="shared" si="1"/>
        <v>Cow</v>
      </c>
      <c r="I77" s="1">
        <v>100</v>
      </c>
      <c r="J77" s="105">
        <v>45145</v>
      </c>
      <c r="K77" s="105"/>
      <c r="L77" s="50" t="s">
        <v>26</v>
      </c>
      <c r="M77" s="14" t="s">
        <v>75</v>
      </c>
      <c r="N77" s="131" t="s">
        <v>54</v>
      </c>
      <c r="O77" s="3" t="s">
        <v>24</v>
      </c>
      <c r="P77" s="113"/>
      <c r="Q77" s="113"/>
      <c r="R77" s="113"/>
      <c r="S77" s="1" t="s">
        <v>25</v>
      </c>
      <c r="T77" s="1" t="s">
        <v>31</v>
      </c>
      <c r="U77" s="106">
        <v>45475</v>
      </c>
      <c r="W77" s="25" t="s">
        <v>76</v>
      </c>
      <c r="X77" s="9"/>
      <c r="Y77" s="9"/>
      <c r="Z77" s="113"/>
      <c r="AA77" s="113"/>
      <c r="AB77" s="113"/>
    </row>
    <row r="78" spans="1:34">
      <c r="A78" s="102">
        <v>762</v>
      </c>
      <c r="B78" s="131" t="s">
        <v>54</v>
      </c>
      <c r="C78" s="4" t="s">
        <v>29</v>
      </c>
      <c r="D78" s="113"/>
      <c r="E78" s="113"/>
      <c r="F78" s="113"/>
      <c r="G78" s="51" t="s">
        <v>53</v>
      </c>
      <c r="H78" s="1" t="str">
        <f t="shared" si="1"/>
        <v>Cow</v>
      </c>
      <c r="I78" s="1">
        <v>100</v>
      </c>
      <c r="J78" s="105">
        <v>45145</v>
      </c>
      <c r="K78" s="105"/>
      <c r="L78" s="50" t="s">
        <v>26</v>
      </c>
      <c r="M78" s="14" t="s">
        <v>77</v>
      </c>
      <c r="N78" s="131" t="s">
        <v>54</v>
      </c>
      <c r="O78" s="4" t="s">
        <v>29</v>
      </c>
      <c r="P78" s="113"/>
      <c r="Q78" s="113"/>
      <c r="R78" s="113"/>
      <c r="S78" s="1" t="s">
        <v>25</v>
      </c>
      <c r="T78" s="1" t="s">
        <v>31</v>
      </c>
      <c r="U78" s="106">
        <v>45475</v>
      </c>
      <c r="W78" s="24">
        <v>45474</v>
      </c>
      <c r="X78" s="9"/>
      <c r="Y78" s="9"/>
      <c r="Z78" s="113"/>
      <c r="AA78" s="113"/>
      <c r="AB78" s="113"/>
    </row>
    <row r="79" spans="1:34">
      <c r="A79" s="102">
        <v>789</v>
      </c>
      <c r="B79" s="131" t="s">
        <v>54</v>
      </c>
      <c r="C79" s="3" t="s">
        <v>24</v>
      </c>
      <c r="D79" s="113"/>
      <c r="E79" s="113"/>
      <c r="F79" s="113"/>
      <c r="G79" s="51" t="s">
        <v>53</v>
      </c>
      <c r="H79" s="1" t="str">
        <f t="shared" si="1"/>
        <v>Cow</v>
      </c>
      <c r="I79" s="1">
        <v>88</v>
      </c>
      <c r="J79" s="105">
        <v>45145</v>
      </c>
      <c r="K79" s="105"/>
      <c r="L79" s="50" t="s">
        <v>26</v>
      </c>
      <c r="M79" s="14" t="s">
        <v>78</v>
      </c>
      <c r="N79" s="131" t="s">
        <v>54</v>
      </c>
      <c r="O79" s="4" t="s">
        <v>29</v>
      </c>
      <c r="P79" s="113"/>
      <c r="Q79" s="113"/>
      <c r="R79" s="113"/>
      <c r="S79" s="1" t="s">
        <v>25</v>
      </c>
      <c r="T79" s="1" t="s">
        <v>31</v>
      </c>
      <c r="U79" s="106">
        <v>45475</v>
      </c>
      <c r="W79" s="24">
        <v>45474</v>
      </c>
      <c r="X79" s="9"/>
      <c r="Y79" s="9"/>
      <c r="Z79" s="113"/>
      <c r="AA79" s="113"/>
      <c r="AB79" s="113"/>
    </row>
    <row r="80" spans="1:34">
      <c r="A80" s="102">
        <v>845</v>
      </c>
      <c r="B80" s="131" t="s">
        <v>54</v>
      </c>
      <c r="C80" s="4" t="s">
        <v>29</v>
      </c>
      <c r="D80" s="113"/>
      <c r="E80" s="113"/>
      <c r="F80" s="113"/>
      <c r="G80" s="51" t="s">
        <v>53</v>
      </c>
      <c r="H80" s="1" t="str">
        <f t="shared" si="1"/>
        <v>Cow</v>
      </c>
      <c r="I80" s="1">
        <v>64</v>
      </c>
      <c r="J80" s="105">
        <v>45145</v>
      </c>
      <c r="K80" s="105"/>
      <c r="L80" s="50" t="s">
        <v>26</v>
      </c>
      <c r="M80" s="14" t="s">
        <v>79</v>
      </c>
      <c r="N80" s="131" t="s">
        <v>54</v>
      </c>
      <c r="O80" s="3" t="s">
        <v>24</v>
      </c>
      <c r="P80" s="113"/>
      <c r="Q80" s="113"/>
      <c r="R80" s="113"/>
      <c r="S80" s="1" t="s">
        <v>25</v>
      </c>
      <c r="T80" s="1" t="s">
        <v>31</v>
      </c>
      <c r="U80" s="106">
        <v>45482</v>
      </c>
      <c r="W80" s="24">
        <v>45480</v>
      </c>
      <c r="X80" s="9"/>
      <c r="Y80" s="9"/>
      <c r="Z80" s="113"/>
      <c r="AA80" s="113"/>
      <c r="AB80" s="113"/>
    </row>
    <row r="81" spans="1:28">
      <c r="A81" s="102">
        <v>854</v>
      </c>
      <c r="B81" s="131" t="s">
        <v>54</v>
      </c>
      <c r="C81" s="3" t="s">
        <v>24</v>
      </c>
      <c r="D81" s="113"/>
      <c r="E81" s="113"/>
      <c r="F81" s="113"/>
      <c r="G81" s="51" t="s">
        <v>53</v>
      </c>
      <c r="H81" s="1" t="str">
        <f t="shared" si="1"/>
        <v>Cow</v>
      </c>
      <c r="I81" s="1">
        <v>64</v>
      </c>
      <c r="J81" s="105">
        <v>45145</v>
      </c>
      <c r="K81" s="105"/>
      <c r="L81" s="50" t="s">
        <v>26</v>
      </c>
      <c r="M81" s="14" t="s">
        <v>80</v>
      </c>
      <c r="N81" s="131" t="s">
        <v>54</v>
      </c>
      <c r="O81" s="3" t="s">
        <v>24</v>
      </c>
      <c r="P81" s="113"/>
      <c r="Q81" s="113"/>
      <c r="R81" s="113"/>
      <c r="S81" s="1" t="s">
        <v>25</v>
      </c>
      <c r="T81" s="1" t="s">
        <v>31</v>
      </c>
      <c r="U81" s="106">
        <v>45482</v>
      </c>
      <c r="W81" s="24">
        <v>45480</v>
      </c>
      <c r="X81" s="9"/>
      <c r="Y81" s="9"/>
      <c r="Z81" s="113"/>
      <c r="AA81" s="113"/>
      <c r="AB81" s="113"/>
    </row>
    <row r="82" spans="1:28">
      <c r="A82" s="102">
        <v>823</v>
      </c>
      <c r="B82" s="131" t="s">
        <v>54</v>
      </c>
      <c r="C82" s="3" t="s">
        <v>24</v>
      </c>
      <c r="D82" s="113"/>
      <c r="E82" s="113"/>
      <c r="F82" s="113"/>
      <c r="G82" s="51" t="s">
        <v>53</v>
      </c>
      <c r="H82" s="1" t="str">
        <f t="shared" si="1"/>
        <v>Cow</v>
      </c>
      <c r="I82" s="1">
        <v>76</v>
      </c>
      <c r="J82" s="105">
        <v>45145</v>
      </c>
      <c r="K82" s="105"/>
      <c r="L82" s="50" t="s">
        <v>26</v>
      </c>
      <c r="M82" s="14" t="s">
        <v>81</v>
      </c>
      <c r="N82" s="131" t="s">
        <v>54</v>
      </c>
      <c r="O82" s="3" t="s">
        <v>24</v>
      </c>
      <c r="P82" s="113"/>
      <c r="Q82" s="113"/>
      <c r="R82" s="113"/>
      <c r="S82" s="1" t="s">
        <v>25</v>
      </c>
      <c r="T82" s="1" t="s">
        <v>31</v>
      </c>
      <c r="W82" s="24">
        <v>45480</v>
      </c>
      <c r="X82" s="9"/>
      <c r="Y82" s="9"/>
      <c r="Z82" s="113"/>
      <c r="AA82" s="113"/>
      <c r="AB82" s="113"/>
    </row>
    <row r="83" spans="1:28">
      <c r="A83" s="102">
        <v>876</v>
      </c>
      <c r="B83" s="131" t="s">
        <v>54</v>
      </c>
      <c r="C83" s="3" t="s">
        <v>24</v>
      </c>
      <c r="D83" s="113"/>
      <c r="E83" s="113"/>
      <c r="F83" s="113"/>
      <c r="G83" s="51" t="s">
        <v>53</v>
      </c>
      <c r="H83" s="1" t="str">
        <f t="shared" si="1"/>
        <v>Cow</v>
      </c>
      <c r="I83" s="1">
        <v>64</v>
      </c>
      <c r="J83" s="105">
        <v>45145</v>
      </c>
      <c r="K83" s="105"/>
      <c r="L83" s="50" t="s">
        <v>26</v>
      </c>
      <c r="M83" s="14" t="s">
        <v>82</v>
      </c>
      <c r="N83" s="131" t="s">
        <v>54</v>
      </c>
      <c r="O83" s="3" t="s">
        <v>24</v>
      </c>
      <c r="P83" s="113"/>
      <c r="Q83" s="113"/>
      <c r="R83" s="113"/>
      <c r="S83" s="1" t="s">
        <v>25</v>
      </c>
      <c r="T83" s="1" t="s">
        <v>31</v>
      </c>
      <c r="U83" s="106">
        <v>45482</v>
      </c>
      <c r="W83" s="24">
        <v>45481</v>
      </c>
      <c r="X83" s="9"/>
      <c r="Y83" s="9"/>
      <c r="Z83" s="113"/>
      <c r="AA83" s="113"/>
      <c r="AB83" s="113"/>
    </row>
    <row r="84" spans="1:28">
      <c r="A84" s="102">
        <v>794</v>
      </c>
      <c r="B84" s="131" t="s">
        <v>54</v>
      </c>
      <c r="C84" s="6" t="s">
        <v>46</v>
      </c>
      <c r="D84" s="113"/>
      <c r="E84" s="113"/>
      <c r="F84" s="113"/>
      <c r="G84" s="51" t="s">
        <v>53</v>
      </c>
      <c r="H84" s="1" t="str">
        <f t="shared" si="1"/>
        <v>Cow</v>
      </c>
      <c r="I84" s="1">
        <v>88</v>
      </c>
      <c r="J84" s="105">
        <v>45145</v>
      </c>
      <c r="K84" s="105"/>
      <c r="L84" s="50" t="s">
        <v>26</v>
      </c>
      <c r="M84" s="14" t="s">
        <v>83</v>
      </c>
      <c r="N84" s="131" t="s">
        <v>54</v>
      </c>
      <c r="O84" s="3" t="s">
        <v>24</v>
      </c>
      <c r="P84" s="113"/>
      <c r="Q84" s="113"/>
      <c r="R84" s="113"/>
      <c r="S84" s="1" t="s">
        <v>25</v>
      </c>
      <c r="T84" s="1" t="s">
        <v>31</v>
      </c>
      <c r="W84" s="24">
        <v>45482</v>
      </c>
      <c r="X84" s="9"/>
      <c r="Y84" s="9"/>
      <c r="Z84" s="113"/>
      <c r="AA84" s="113"/>
      <c r="AB84" s="113"/>
    </row>
    <row r="85" spans="1:28">
      <c r="A85" s="102">
        <v>934</v>
      </c>
      <c r="B85" s="131" t="s">
        <v>54</v>
      </c>
      <c r="C85" s="3" t="s">
        <v>24</v>
      </c>
      <c r="D85" s="113"/>
      <c r="E85" s="113"/>
      <c r="F85" s="113"/>
      <c r="G85" s="51" t="s">
        <v>53</v>
      </c>
      <c r="H85" s="1" t="str">
        <f t="shared" si="1"/>
        <v>Cow</v>
      </c>
      <c r="I85" s="1">
        <v>40</v>
      </c>
      <c r="J85" s="105">
        <v>45145</v>
      </c>
      <c r="K85" s="105"/>
      <c r="L85" s="50" t="s">
        <v>26</v>
      </c>
      <c r="M85" s="14" t="s">
        <v>84</v>
      </c>
      <c r="N85" s="131" t="s">
        <v>54</v>
      </c>
      <c r="O85" s="3" t="s">
        <v>24</v>
      </c>
      <c r="P85" s="113"/>
      <c r="Q85" s="113"/>
      <c r="R85" s="113"/>
      <c r="S85" s="1" t="s">
        <v>25</v>
      </c>
      <c r="T85" s="1" t="s">
        <v>31</v>
      </c>
      <c r="W85" s="24">
        <v>45483</v>
      </c>
      <c r="X85" s="9"/>
      <c r="Y85" s="9"/>
      <c r="Z85" s="113"/>
      <c r="AA85" s="113"/>
      <c r="AB85" s="113"/>
    </row>
    <row r="86" spans="1:28">
      <c r="A86" s="102">
        <v>728</v>
      </c>
      <c r="B86" s="131" t="s">
        <v>54</v>
      </c>
      <c r="C86" s="3" t="s">
        <v>24</v>
      </c>
      <c r="D86" s="113"/>
      <c r="E86" s="113"/>
      <c r="F86" s="113"/>
      <c r="G86" s="51" t="s">
        <v>53</v>
      </c>
      <c r="H86" s="1" t="str">
        <f t="shared" si="1"/>
        <v>Cow</v>
      </c>
      <c r="I86" s="1">
        <v>112</v>
      </c>
      <c r="J86" s="105">
        <v>45145</v>
      </c>
      <c r="K86" s="105"/>
      <c r="L86" s="50" t="s">
        <v>26</v>
      </c>
      <c r="M86" s="14" t="s">
        <v>85</v>
      </c>
      <c r="N86" s="131" t="s">
        <v>54</v>
      </c>
      <c r="O86" s="3" t="s">
        <v>24</v>
      </c>
      <c r="P86" s="113"/>
      <c r="Q86" s="113"/>
      <c r="R86" s="113"/>
      <c r="S86" s="1" t="s">
        <v>25</v>
      </c>
      <c r="T86" s="1" t="s">
        <v>31</v>
      </c>
      <c r="U86" s="106">
        <v>45496</v>
      </c>
      <c r="W86" s="25" t="s">
        <v>86</v>
      </c>
      <c r="X86" s="9"/>
      <c r="Y86" s="9"/>
      <c r="Z86" s="113"/>
      <c r="AA86" s="113"/>
      <c r="AB86" s="113"/>
    </row>
    <row r="87" spans="1:28">
      <c r="A87" s="102">
        <v>927</v>
      </c>
      <c r="B87" s="131" t="s">
        <v>54</v>
      </c>
      <c r="C87" s="3" t="s">
        <v>24</v>
      </c>
      <c r="D87" s="113"/>
      <c r="E87" s="113"/>
      <c r="F87" s="113"/>
      <c r="G87" s="51" t="s">
        <v>53</v>
      </c>
      <c r="H87" s="1" t="str">
        <f t="shared" si="1"/>
        <v>Cow</v>
      </c>
      <c r="I87" s="1">
        <v>40</v>
      </c>
      <c r="J87" s="105">
        <v>45145</v>
      </c>
      <c r="K87" s="105"/>
      <c r="L87" s="50" t="s">
        <v>26</v>
      </c>
      <c r="M87" s="14" t="s">
        <v>87</v>
      </c>
      <c r="N87" s="131" t="s">
        <v>54</v>
      </c>
      <c r="O87" s="4" t="s">
        <v>29</v>
      </c>
      <c r="P87" s="113"/>
      <c r="Q87" s="113"/>
      <c r="R87" s="113"/>
      <c r="S87" s="1" t="s">
        <v>25</v>
      </c>
      <c r="T87" s="1" t="s">
        <v>31</v>
      </c>
      <c r="U87" s="106">
        <v>45503</v>
      </c>
      <c r="W87" s="25" t="s">
        <v>88</v>
      </c>
      <c r="X87" s="9"/>
      <c r="Y87" s="9"/>
      <c r="Z87" s="113"/>
      <c r="AA87" s="113"/>
      <c r="AB87" s="113"/>
    </row>
    <row r="88" spans="1:28">
      <c r="A88" s="102">
        <v>788</v>
      </c>
      <c r="B88" s="131" t="s">
        <v>54</v>
      </c>
      <c r="C88" s="3" t="s">
        <v>24</v>
      </c>
      <c r="D88" s="113"/>
      <c r="E88" s="113"/>
      <c r="F88" s="113"/>
      <c r="G88" s="51" t="s">
        <v>53</v>
      </c>
      <c r="H88" s="1" t="str">
        <f t="shared" si="1"/>
        <v>Cow</v>
      </c>
      <c r="I88" s="1">
        <v>88</v>
      </c>
      <c r="J88" s="105">
        <v>45145</v>
      </c>
      <c r="K88" s="105"/>
      <c r="L88" s="50" t="s">
        <v>26</v>
      </c>
      <c r="M88" s="14" t="s">
        <v>89</v>
      </c>
      <c r="N88" s="131" t="s">
        <v>54</v>
      </c>
      <c r="O88" s="3" t="s">
        <v>24</v>
      </c>
      <c r="P88" s="113"/>
      <c r="Q88" s="113"/>
      <c r="R88" s="113"/>
      <c r="S88" s="1" t="s">
        <v>25</v>
      </c>
      <c r="T88" s="1" t="s">
        <v>31</v>
      </c>
      <c r="U88" s="106">
        <v>45503</v>
      </c>
      <c r="W88" s="25" t="s">
        <v>90</v>
      </c>
      <c r="X88" s="9"/>
      <c r="Y88" s="9"/>
      <c r="Z88" s="113"/>
      <c r="AA88" s="113"/>
      <c r="AB88" s="113"/>
    </row>
    <row r="89" spans="1:28">
      <c r="A89" s="102">
        <v>926</v>
      </c>
      <c r="B89" s="131" t="s">
        <v>54</v>
      </c>
      <c r="C89" s="3" t="s">
        <v>24</v>
      </c>
      <c r="D89" s="113"/>
      <c r="E89" s="113"/>
      <c r="F89" s="113"/>
      <c r="G89" s="51" t="s">
        <v>53</v>
      </c>
      <c r="H89" s="1" t="str">
        <f t="shared" si="1"/>
        <v>Cow</v>
      </c>
      <c r="I89" s="1">
        <v>40</v>
      </c>
      <c r="J89" s="105">
        <v>45145</v>
      </c>
      <c r="K89" s="105"/>
      <c r="L89" s="50" t="s">
        <v>26</v>
      </c>
      <c r="M89" s="14" t="s">
        <v>91</v>
      </c>
      <c r="N89" s="131" t="s">
        <v>54</v>
      </c>
      <c r="O89" s="3" t="s">
        <v>24</v>
      </c>
      <c r="P89" s="113"/>
      <c r="Q89" s="113"/>
      <c r="R89" s="113"/>
      <c r="S89" s="1" t="s">
        <v>25</v>
      </c>
      <c r="T89" s="1" t="s">
        <v>31</v>
      </c>
      <c r="U89" s="106">
        <v>45503</v>
      </c>
      <c r="W89" s="25" t="s">
        <v>90</v>
      </c>
      <c r="X89" s="9"/>
      <c r="Y89" s="9"/>
      <c r="Z89" s="113"/>
      <c r="AA89" s="113"/>
      <c r="AB89" s="113"/>
    </row>
    <row r="90" spans="1:28">
      <c r="A90" s="102">
        <v>718</v>
      </c>
      <c r="B90" s="131" t="s">
        <v>54</v>
      </c>
      <c r="C90" s="3" t="s">
        <v>24</v>
      </c>
      <c r="D90" s="113"/>
      <c r="E90" s="113"/>
      <c r="F90" s="113"/>
      <c r="G90" s="51" t="s">
        <v>53</v>
      </c>
      <c r="H90" s="1" t="str">
        <f t="shared" si="1"/>
        <v>Cow</v>
      </c>
      <c r="I90" s="1">
        <v>112</v>
      </c>
      <c r="J90" s="105">
        <v>45145</v>
      </c>
      <c r="K90" s="105"/>
      <c r="L90" s="50" t="s">
        <v>34</v>
      </c>
      <c r="M90" s="14"/>
      <c r="N90" s="131"/>
      <c r="O90" s="113"/>
      <c r="P90" s="113"/>
      <c r="Q90" s="113"/>
      <c r="R90" s="113"/>
      <c r="S90" s="1" t="s">
        <v>25</v>
      </c>
      <c r="W90" s="25" t="s">
        <v>61</v>
      </c>
      <c r="X90" s="9"/>
      <c r="Y90" s="9"/>
      <c r="Z90" s="113"/>
      <c r="AA90" s="113"/>
      <c r="AB90" s="113"/>
    </row>
    <row r="91" spans="1:28">
      <c r="A91" s="102">
        <v>871</v>
      </c>
      <c r="B91" s="131" t="s">
        <v>54</v>
      </c>
      <c r="C91" s="4" t="s">
        <v>29</v>
      </c>
      <c r="D91" s="113"/>
      <c r="E91" s="113"/>
      <c r="F91" s="113"/>
      <c r="G91" s="51" t="s">
        <v>53</v>
      </c>
      <c r="H91" s="1" t="str">
        <f t="shared" si="1"/>
        <v>Cow</v>
      </c>
      <c r="I91" s="1">
        <v>64</v>
      </c>
      <c r="J91" s="105">
        <v>45145</v>
      </c>
      <c r="K91" s="105"/>
      <c r="L91" s="50" t="s">
        <v>26</v>
      </c>
      <c r="M91" s="14" t="s">
        <v>92</v>
      </c>
      <c r="N91" s="131" t="s">
        <v>54</v>
      </c>
      <c r="O91" s="3" t="s">
        <v>24</v>
      </c>
      <c r="P91" s="113"/>
      <c r="Q91" s="113"/>
      <c r="R91" s="113"/>
      <c r="S91" s="1" t="s">
        <v>25</v>
      </c>
      <c r="T91" s="1" t="s">
        <v>31</v>
      </c>
      <c r="U91" s="106">
        <v>45503</v>
      </c>
      <c r="W91" s="25" t="s">
        <v>93</v>
      </c>
      <c r="X91" s="9"/>
      <c r="Y91" s="9"/>
      <c r="Z91" s="113"/>
      <c r="AA91" s="113"/>
      <c r="AB91" s="113"/>
    </row>
    <row r="92" spans="1:28">
      <c r="A92" s="102">
        <v>746</v>
      </c>
      <c r="B92" s="131" t="s">
        <v>54</v>
      </c>
      <c r="C92" s="4" t="s">
        <v>29</v>
      </c>
      <c r="E92" s="4" t="s">
        <v>29</v>
      </c>
      <c r="G92" s="51" t="s">
        <v>53</v>
      </c>
      <c r="H92" s="1" t="str">
        <f t="shared" si="1"/>
        <v>Cow</v>
      </c>
      <c r="I92" s="1">
        <v>111</v>
      </c>
      <c r="J92" s="105">
        <v>45145</v>
      </c>
      <c r="K92" s="114">
        <v>45524</v>
      </c>
      <c r="L92" s="50" t="s">
        <v>26</v>
      </c>
      <c r="M92" s="101" t="s">
        <v>94</v>
      </c>
      <c r="N92" s="10" t="s">
        <v>54</v>
      </c>
      <c r="O92" s="1">
        <v>0</v>
      </c>
      <c r="T92" s="1" t="s">
        <v>31</v>
      </c>
      <c r="W92" s="115">
        <v>45524</v>
      </c>
    </row>
    <row r="93" spans="1:28">
      <c r="A93" s="102">
        <v>818</v>
      </c>
      <c r="B93" s="131" t="s">
        <v>54</v>
      </c>
      <c r="C93" s="3" t="s">
        <v>24</v>
      </c>
      <c r="E93" s="6" t="s">
        <v>46</v>
      </c>
      <c r="G93" s="51" t="s">
        <v>53</v>
      </c>
      <c r="H93" s="1" t="str">
        <f t="shared" si="1"/>
        <v>Cow</v>
      </c>
      <c r="I93" s="1">
        <v>76</v>
      </c>
      <c r="J93" s="105">
        <v>45145</v>
      </c>
      <c r="K93" s="114">
        <v>45525</v>
      </c>
      <c r="L93" s="50" t="s">
        <v>26</v>
      </c>
      <c r="M93" s="101" t="s">
        <v>95</v>
      </c>
      <c r="N93" s="10" t="s">
        <v>54</v>
      </c>
      <c r="O93" s="3" t="s">
        <v>24</v>
      </c>
      <c r="T93" s="1" t="s">
        <v>31</v>
      </c>
      <c r="W93" s="115">
        <v>45525</v>
      </c>
    </row>
    <row r="94" spans="1:28">
      <c r="A94" s="102">
        <v>753</v>
      </c>
      <c r="B94" s="131" t="s">
        <v>54</v>
      </c>
      <c r="C94" s="4" t="s">
        <v>29</v>
      </c>
      <c r="E94" s="4" t="s">
        <v>29</v>
      </c>
      <c r="G94" s="51" t="s">
        <v>53</v>
      </c>
      <c r="H94" s="1" t="str">
        <f t="shared" si="1"/>
        <v>Cow</v>
      </c>
      <c r="I94" s="1">
        <v>100</v>
      </c>
      <c r="J94" s="105">
        <v>45145</v>
      </c>
      <c r="K94" s="114">
        <v>45530</v>
      </c>
      <c r="L94" s="50" t="s">
        <v>26</v>
      </c>
      <c r="M94" s="101" t="s">
        <v>96</v>
      </c>
      <c r="N94" s="10" t="s">
        <v>54</v>
      </c>
      <c r="O94" s="3" t="s">
        <v>24</v>
      </c>
      <c r="T94" s="1" t="s">
        <v>31</v>
      </c>
      <c r="W94" s="115">
        <v>45530</v>
      </c>
    </row>
    <row r="95" spans="1:28">
      <c r="A95" s="102">
        <v>665</v>
      </c>
      <c r="B95" s="131" t="s">
        <v>54</v>
      </c>
      <c r="C95" s="3" t="s">
        <v>24</v>
      </c>
      <c r="E95" s="4" t="s">
        <v>29</v>
      </c>
      <c r="G95" s="51" t="s">
        <v>53</v>
      </c>
      <c r="H95" s="1" t="str">
        <f t="shared" si="1"/>
        <v>Cow</v>
      </c>
      <c r="I95" s="1">
        <v>135</v>
      </c>
      <c r="J95" s="105">
        <v>45145</v>
      </c>
      <c r="K95" s="114">
        <v>45546</v>
      </c>
      <c r="L95" s="50" t="s">
        <v>26</v>
      </c>
      <c r="M95" s="101" t="s">
        <v>97</v>
      </c>
      <c r="N95" s="10" t="s">
        <v>54</v>
      </c>
      <c r="O95" s="3" t="s">
        <v>24</v>
      </c>
      <c r="T95" s="1" t="s">
        <v>31</v>
      </c>
      <c r="W95" s="115">
        <v>45546</v>
      </c>
    </row>
    <row r="96" spans="1:28">
      <c r="A96" s="102">
        <v>761</v>
      </c>
      <c r="B96" s="131" t="s">
        <v>54</v>
      </c>
      <c r="C96" s="3" t="s">
        <v>24</v>
      </c>
      <c r="D96" s="113"/>
      <c r="E96" s="113"/>
      <c r="F96" s="113"/>
      <c r="G96" s="51" t="s">
        <v>53</v>
      </c>
      <c r="H96" s="1" t="str">
        <f t="shared" si="1"/>
        <v>Cow</v>
      </c>
      <c r="I96" s="1">
        <v>100</v>
      </c>
      <c r="J96" s="105">
        <v>45145</v>
      </c>
      <c r="K96" s="105"/>
      <c r="L96" s="50" t="s">
        <v>34</v>
      </c>
      <c r="M96" s="14"/>
      <c r="N96" s="131"/>
      <c r="O96" s="113"/>
      <c r="P96" s="113"/>
      <c r="Q96" s="113"/>
      <c r="R96" s="113"/>
      <c r="W96" s="24"/>
      <c r="X96" s="9"/>
      <c r="Y96" s="9"/>
      <c r="Z96" s="113"/>
      <c r="AA96" s="113"/>
      <c r="AB96" s="113"/>
    </row>
    <row r="97" spans="1:28">
      <c r="A97" s="102">
        <v>837</v>
      </c>
      <c r="B97" s="131" t="s">
        <v>54</v>
      </c>
      <c r="C97" s="3" t="s">
        <v>24</v>
      </c>
      <c r="E97" s="4" t="s">
        <v>29</v>
      </c>
      <c r="G97" s="51" t="s">
        <v>53</v>
      </c>
      <c r="H97" s="1" t="str">
        <f t="shared" si="1"/>
        <v>Cow</v>
      </c>
      <c r="I97" s="1">
        <v>76</v>
      </c>
      <c r="J97" s="105">
        <v>45145</v>
      </c>
      <c r="K97" s="114">
        <v>45547</v>
      </c>
      <c r="L97" s="50" t="s">
        <v>26</v>
      </c>
      <c r="M97" s="101" t="s">
        <v>98</v>
      </c>
      <c r="N97" s="10" t="s">
        <v>54</v>
      </c>
      <c r="O97" s="3" t="s">
        <v>24</v>
      </c>
      <c r="T97" s="1" t="s">
        <v>31</v>
      </c>
      <c r="W97" s="115">
        <v>45547</v>
      </c>
    </row>
    <row r="98" spans="1:28">
      <c r="A98" s="102">
        <v>868</v>
      </c>
      <c r="B98" s="131" t="s">
        <v>54</v>
      </c>
      <c r="C98" s="4" t="s">
        <v>29</v>
      </c>
      <c r="E98" s="4" t="s">
        <v>29</v>
      </c>
      <c r="G98" s="51" t="s">
        <v>53</v>
      </c>
      <c r="H98" s="1" t="str">
        <f t="shared" si="1"/>
        <v>Cow</v>
      </c>
      <c r="I98" s="1">
        <v>64</v>
      </c>
      <c r="J98" s="105">
        <v>45145</v>
      </c>
      <c r="K98" s="114">
        <v>45551</v>
      </c>
      <c r="L98" s="50" t="s">
        <v>26</v>
      </c>
      <c r="M98" s="101" t="s">
        <v>99</v>
      </c>
      <c r="N98" s="10" t="s">
        <v>54</v>
      </c>
      <c r="O98" s="3" t="s">
        <v>24</v>
      </c>
      <c r="T98" s="1" t="s">
        <v>31</v>
      </c>
      <c r="W98" s="115">
        <v>45551</v>
      </c>
    </row>
    <row r="99" spans="1:28">
      <c r="A99" s="102">
        <v>806</v>
      </c>
      <c r="B99" s="131" t="s">
        <v>54</v>
      </c>
      <c r="C99" s="3" t="s">
        <v>24</v>
      </c>
      <c r="D99" s="113"/>
      <c r="E99" s="113"/>
      <c r="F99" s="113"/>
      <c r="G99" s="51" t="s">
        <v>53</v>
      </c>
      <c r="H99" s="1" t="str">
        <f t="shared" si="1"/>
        <v>Cow</v>
      </c>
      <c r="I99" s="1">
        <v>87</v>
      </c>
      <c r="J99" s="105">
        <v>45145</v>
      </c>
      <c r="K99" s="105"/>
      <c r="L99" s="50" t="s">
        <v>26</v>
      </c>
      <c r="M99" s="14" t="s">
        <v>100</v>
      </c>
      <c r="N99" s="131" t="s">
        <v>54</v>
      </c>
      <c r="O99" s="113">
        <v>0</v>
      </c>
      <c r="P99" s="113"/>
      <c r="Q99" s="113"/>
      <c r="R99" s="113"/>
      <c r="T99" s="1" t="s">
        <v>31</v>
      </c>
      <c r="W99" s="24">
        <v>45560</v>
      </c>
      <c r="X99" s="9"/>
      <c r="Y99" s="9"/>
      <c r="Z99" s="113"/>
      <c r="AA99" s="113"/>
      <c r="AB99" s="113"/>
    </row>
    <row r="100" spans="1:28">
      <c r="A100" s="102">
        <v>734</v>
      </c>
      <c r="B100" s="131" t="s">
        <v>54</v>
      </c>
      <c r="C100" s="3" t="s">
        <v>24</v>
      </c>
      <c r="D100" s="113"/>
      <c r="E100" s="113"/>
      <c r="F100" s="113"/>
      <c r="G100" s="51" t="s">
        <v>53</v>
      </c>
      <c r="H100" s="1" t="str">
        <f t="shared" si="1"/>
        <v>Cow</v>
      </c>
      <c r="I100" s="1">
        <v>112</v>
      </c>
      <c r="J100" s="105">
        <v>45145</v>
      </c>
      <c r="K100" s="105"/>
      <c r="L100" s="50" t="s">
        <v>26</v>
      </c>
      <c r="M100" s="14" t="s">
        <v>101</v>
      </c>
      <c r="N100" s="131" t="s">
        <v>54</v>
      </c>
      <c r="O100" s="113" t="s">
        <v>36</v>
      </c>
      <c r="P100" s="113"/>
      <c r="Q100" s="113"/>
      <c r="R100" s="113"/>
      <c r="S100" s="1" t="s">
        <v>25</v>
      </c>
      <c r="T100" s="1" t="s">
        <v>31</v>
      </c>
      <c r="W100" s="24">
        <v>45452</v>
      </c>
      <c r="X100" s="9"/>
      <c r="Y100" s="9"/>
      <c r="Z100" s="113"/>
      <c r="AA100" s="113"/>
      <c r="AB100" s="113"/>
    </row>
    <row r="101" spans="1:28">
      <c r="A101" s="102">
        <v>873</v>
      </c>
      <c r="B101" s="131" t="s">
        <v>54</v>
      </c>
      <c r="C101" s="3" t="s">
        <v>24</v>
      </c>
      <c r="D101" s="113"/>
      <c r="E101" s="113"/>
      <c r="F101" s="113"/>
      <c r="G101" s="51" t="s">
        <v>53</v>
      </c>
      <c r="H101" s="1" t="str">
        <f t="shared" si="1"/>
        <v>Cow</v>
      </c>
      <c r="I101" s="1">
        <v>64</v>
      </c>
      <c r="J101" s="105">
        <v>45145</v>
      </c>
      <c r="K101" s="105"/>
      <c r="L101" s="50" t="s">
        <v>26</v>
      </c>
      <c r="M101" s="14" t="s">
        <v>102</v>
      </c>
      <c r="N101" s="131" t="s">
        <v>54</v>
      </c>
      <c r="O101" s="3" t="s">
        <v>24</v>
      </c>
      <c r="P101" s="113"/>
      <c r="Q101" s="113"/>
      <c r="R101" s="113"/>
      <c r="S101" s="1" t="s">
        <v>25</v>
      </c>
      <c r="T101" s="1" t="s">
        <v>31</v>
      </c>
      <c r="U101" s="106">
        <v>45454</v>
      </c>
      <c r="W101" s="24">
        <v>45453</v>
      </c>
      <c r="X101" s="9"/>
      <c r="Y101" s="9"/>
      <c r="Z101" s="113"/>
      <c r="AA101" s="113"/>
      <c r="AB101" s="113"/>
    </row>
    <row r="102" spans="1:28">
      <c r="A102" s="102">
        <v>721</v>
      </c>
      <c r="B102" s="131" t="s">
        <v>54</v>
      </c>
      <c r="C102" s="3" t="s">
        <v>24</v>
      </c>
      <c r="D102" s="113"/>
      <c r="E102" s="113"/>
      <c r="F102" s="113"/>
      <c r="G102" s="51" t="s">
        <v>53</v>
      </c>
      <c r="H102" s="1" t="str">
        <f t="shared" si="1"/>
        <v>Cow</v>
      </c>
      <c r="I102" s="1">
        <v>112</v>
      </c>
      <c r="J102" s="105">
        <v>45145</v>
      </c>
      <c r="K102" s="105"/>
      <c r="L102" s="50" t="s">
        <v>26</v>
      </c>
      <c r="M102" s="14" t="s">
        <v>103</v>
      </c>
      <c r="N102" s="131" t="s">
        <v>54</v>
      </c>
      <c r="O102" s="3" t="s">
        <v>24</v>
      </c>
      <c r="P102" s="113"/>
      <c r="Q102" s="113"/>
      <c r="R102" s="113"/>
      <c r="S102" s="1" t="s">
        <v>25</v>
      </c>
      <c r="T102" s="1" t="s">
        <v>31</v>
      </c>
      <c r="U102" s="106">
        <v>45461</v>
      </c>
      <c r="W102" s="24">
        <v>45454</v>
      </c>
      <c r="X102" s="9"/>
      <c r="Y102" s="9"/>
      <c r="Z102" s="113"/>
      <c r="AA102" s="113"/>
      <c r="AB102" s="113"/>
    </row>
    <row r="103" spans="1:28">
      <c r="A103" s="102">
        <v>749</v>
      </c>
      <c r="B103" s="131" t="s">
        <v>54</v>
      </c>
      <c r="C103" s="3" t="s">
        <v>24</v>
      </c>
      <c r="D103" s="113"/>
      <c r="E103" s="113"/>
      <c r="F103" s="113"/>
      <c r="G103" s="51" t="s">
        <v>53</v>
      </c>
      <c r="H103" s="1" t="str">
        <f t="shared" si="1"/>
        <v>Cow</v>
      </c>
      <c r="I103" s="1">
        <v>100</v>
      </c>
      <c r="J103" s="105">
        <v>45145</v>
      </c>
      <c r="K103" s="105"/>
      <c r="L103" s="50" t="s">
        <v>26</v>
      </c>
      <c r="M103" s="14" t="s">
        <v>104</v>
      </c>
      <c r="N103" s="131" t="s">
        <v>54</v>
      </c>
      <c r="O103" s="3" t="s">
        <v>24</v>
      </c>
      <c r="P103" s="113"/>
      <c r="Q103" s="113"/>
      <c r="R103" s="113"/>
      <c r="S103" s="1" t="s">
        <v>25</v>
      </c>
      <c r="T103" s="1" t="s">
        <v>31</v>
      </c>
      <c r="U103" s="106">
        <v>45461</v>
      </c>
      <c r="W103" s="25" t="s">
        <v>59</v>
      </c>
      <c r="X103" s="9"/>
      <c r="Y103" s="9"/>
      <c r="Z103" s="113"/>
      <c r="AA103" s="113"/>
      <c r="AB103" s="113"/>
    </row>
    <row r="104" spans="1:28">
      <c r="A104" s="14">
        <v>775</v>
      </c>
      <c r="B104" s="131" t="s">
        <v>54</v>
      </c>
      <c r="C104" s="4" t="s">
        <v>29</v>
      </c>
      <c r="D104" s="113"/>
      <c r="E104" s="113"/>
      <c r="F104" s="113"/>
      <c r="G104" s="51" t="s">
        <v>53</v>
      </c>
      <c r="H104" s="1" t="str">
        <f t="shared" si="1"/>
        <v>Cow</v>
      </c>
      <c r="I104" s="1">
        <v>99</v>
      </c>
      <c r="J104" s="105">
        <v>45145</v>
      </c>
      <c r="K104" s="106"/>
      <c r="L104" s="50" t="s">
        <v>26</v>
      </c>
      <c r="M104" s="102" t="s">
        <v>105</v>
      </c>
      <c r="N104" s="131" t="s">
        <v>54</v>
      </c>
      <c r="O104" s="4" t="s">
        <v>29</v>
      </c>
      <c r="P104" s="113"/>
      <c r="Q104" s="113"/>
      <c r="R104" s="113"/>
      <c r="S104" s="1" t="s">
        <v>25</v>
      </c>
      <c r="T104" s="1" t="s">
        <v>31</v>
      </c>
      <c r="U104" s="106">
        <v>45461</v>
      </c>
      <c r="W104" s="25" t="s">
        <v>60</v>
      </c>
      <c r="X104" s="9"/>
      <c r="Y104" s="9"/>
      <c r="Z104" s="113"/>
      <c r="AA104" s="113"/>
      <c r="AB104" s="113"/>
    </row>
    <row r="105" spans="1:28">
      <c r="A105" s="14">
        <v>812</v>
      </c>
      <c r="B105" s="131" t="s">
        <v>54</v>
      </c>
      <c r="C105" s="3" t="s">
        <v>24</v>
      </c>
      <c r="G105" s="51" t="s">
        <v>53</v>
      </c>
      <c r="H105" s="1" t="str">
        <f t="shared" si="1"/>
        <v>Cow</v>
      </c>
      <c r="I105" s="1">
        <v>52</v>
      </c>
      <c r="J105" s="105">
        <v>45145</v>
      </c>
      <c r="K105" s="105"/>
      <c r="N105" s="10"/>
    </row>
    <row r="106" spans="1:28">
      <c r="A106" s="14">
        <v>796</v>
      </c>
      <c r="B106" s="131" t="s">
        <v>54</v>
      </c>
      <c r="C106" s="3" t="s">
        <v>24</v>
      </c>
      <c r="G106" s="51" t="s">
        <v>53</v>
      </c>
      <c r="H106" s="1" t="str">
        <f t="shared" si="1"/>
        <v>Cow</v>
      </c>
      <c r="I106" s="1">
        <v>88</v>
      </c>
      <c r="J106" s="105">
        <v>45145</v>
      </c>
      <c r="K106" s="105"/>
      <c r="N106" s="10"/>
    </row>
    <row r="107" spans="1:28">
      <c r="A107" s="14">
        <v>885</v>
      </c>
      <c r="B107" s="131" t="s">
        <v>54</v>
      </c>
      <c r="C107" s="3" t="s">
        <v>24</v>
      </c>
      <c r="G107" s="51" t="s">
        <v>53</v>
      </c>
      <c r="J107" s="105">
        <v>45145</v>
      </c>
      <c r="K107" s="105"/>
      <c r="N107" s="10"/>
    </row>
    <row r="108" spans="1:28">
      <c r="A108" s="14">
        <v>930</v>
      </c>
      <c r="B108" s="131" t="s">
        <v>54</v>
      </c>
      <c r="C108" s="3" t="s">
        <v>24</v>
      </c>
      <c r="D108" s="113"/>
      <c r="E108" s="113"/>
      <c r="F108" s="113"/>
      <c r="G108" s="51" t="s">
        <v>53</v>
      </c>
      <c r="H108" s="1" t="str">
        <f>IF(I108 &lt; 24, "Heifer", "Cow")</f>
        <v>Cow</v>
      </c>
      <c r="I108" s="1">
        <v>40</v>
      </c>
      <c r="J108" s="105">
        <v>45145</v>
      </c>
      <c r="K108" s="106"/>
      <c r="L108" s="50" t="s">
        <v>26</v>
      </c>
      <c r="M108" s="102" t="s">
        <v>106</v>
      </c>
      <c r="N108" s="131" t="s">
        <v>54</v>
      </c>
      <c r="O108" s="3" t="s">
        <v>24</v>
      </c>
      <c r="P108" s="113"/>
      <c r="Q108" s="113"/>
      <c r="R108" s="113"/>
      <c r="S108" s="1" t="s">
        <v>25</v>
      </c>
      <c r="T108" s="1" t="s">
        <v>27</v>
      </c>
      <c r="U108" s="106">
        <v>45468</v>
      </c>
      <c r="W108" s="25" t="s">
        <v>62</v>
      </c>
      <c r="X108" s="9"/>
      <c r="Y108" s="9"/>
      <c r="Z108" s="113"/>
      <c r="AA108" s="113"/>
      <c r="AB108" s="113"/>
    </row>
    <row r="109" spans="1:28">
      <c r="A109" s="14">
        <v>879</v>
      </c>
      <c r="B109" s="131" t="s">
        <v>54</v>
      </c>
      <c r="C109" s="6" t="s">
        <v>46</v>
      </c>
      <c r="G109" s="51" t="s">
        <v>53</v>
      </c>
      <c r="H109" s="1" t="str">
        <f>IF(I109 &lt; 24, "Heifer", "Cow")</f>
        <v>Cow</v>
      </c>
      <c r="I109" s="1">
        <v>53</v>
      </c>
      <c r="J109" s="105">
        <v>45145</v>
      </c>
      <c r="K109" s="105"/>
      <c r="N109" s="10"/>
    </row>
    <row r="110" spans="1:28">
      <c r="A110" s="14">
        <v>852</v>
      </c>
      <c r="B110" s="131" t="s">
        <v>54</v>
      </c>
      <c r="C110" s="3" t="s">
        <v>24</v>
      </c>
      <c r="G110" s="51" t="s">
        <v>53</v>
      </c>
      <c r="H110" s="1" t="str">
        <f>IF(I110 &lt; 24, "Heifer", "Cow")</f>
        <v>Cow</v>
      </c>
      <c r="I110" s="1">
        <v>64</v>
      </c>
      <c r="J110" s="105">
        <v>45145</v>
      </c>
      <c r="K110" s="105"/>
      <c r="N110" s="10"/>
    </row>
    <row r="111" spans="1:28">
      <c r="A111" s="14">
        <v>827</v>
      </c>
      <c r="B111" s="131" t="s">
        <v>54</v>
      </c>
      <c r="C111" s="4" t="s">
        <v>29</v>
      </c>
      <c r="G111" s="51" t="s">
        <v>53</v>
      </c>
      <c r="H111" s="1" t="str">
        <f>IF(I111 &lt; 24, "Heifer", "Cow")</f>
        <v>Cow</v>
      </c>
      <c r="I111" s="1">
        <v>76</v>
      </c>
      <c r="J111" s="105">
        <v>45145</v>
      </c>
      <c r="K111" s="105"/>
      <c r="N111" s="10"/>
    </row>
    <row r="112" spans="1:28">
      <c r="A112" s="14">
        <v>882</v>
      </c>
      <c r="B112" s="131" t="s">
        <v>54</v>
      </c>
      <c r="C112" s="3" t="s">
        <v>24</v>
      </c>
      <c r="G112" s="51" t="s">
        <v>53</v>
      </c>
      <c r="J112" s="105">
        <v>45145</v>
      </c>
      <c r="K112" s="105"/>
      <c r="N112" s="10"/>
    </row>
    <row r="113" spans="1:28">
      <c r="A113" s="14">
        <v>870</v>
      </c>
      <c r="B113" s="131" t="s">
        <v>54</v>
      </c>
      <c r="C113" s="3" t="s">
        <v>24</v>
      </c>
      <c r="G113" s="51" t="s">
        <v>53</v>
      </c>
      <c r="H113" s="1" t="str">
        <f>IF(I113 &lt; 24, "Heifer", "Cow")</f>
        <v>Cow</v>
      </c>
      <c r="I113" s="1">
        <v>64</v>
      </c>
      <c r="J113" s="105">
        <v>45145</v>
      </c>
      <c r="K113" s="105"/>
      <c r="N113" s="10"/>
    </row>
    <row r="114" spans="1:28">
      <c r="A114" s="14">
        <v>866</v>
      </c>
      <c r="B114" s="131" t="s">
        <v>54</v>
      </c>
      <c r="C114" s="3" t="s">
        <v>24</v>
      </c>
      <c r="G114" s="51" t="s">
        <v>53</v>
      </c>
      <c r="H114" s="1" t="str">
        <f>IF(I114 &lt; 24, "Heifer", "Cow")</f>
        <v>Cow</v>
      </c>
      <c r="I114" s="1">
        <v>64</v>
      </c>
      <c r="J114" s="105">
        <v>45145</v>
      </c>
      <c r="K114" s="105"/>
      <c r="N114" s="10"/>
    </row>
    <row r="115" spans="1:28">
      <c r="A115" s="14">
        <v>872</v>
      </c>
      <c r="B115" s="131" t="s">
        <v>54</v>
      </c>
      <c r="C115" s="6" t="s">
        <v>46</v>
      </c>
      <c r="G115" s="51" t="s">
        <v>53</v>
      </c>
      <c r="H115" s="1" t="str">
        <f>IF(I115 &lt; 24, "Heifer", "Cow")</f>
        <v>Cow</v>
      </c>
      <c r="I115" s="1">
        <v>64</v>
      </c>
      <c r="J115" s="105">
        <v>45145</v>
      </c>
      <c r="K115" s="105"/>
      <c r="N115" s="10"/>
    </row>
    <row r="116" spans="1:28">
      <c r="A116" s="14">
        <v>853</v>
      </c>
      <c r="B116" s="131" t="s">
        <v>54</v>
      </c>
      <c r="C116" s="3" t="s">
        <v>24</v>
      </c>
      <c r="G116" s="51" t="s">
        <v>53</v>
      </c>
      <c r="H116" s="1" t="str">
        <f>IF(I116 &lt; 24, "Heifer", "Cow")</f>
        <v>Cow</v>
      </c>
      <c r="I116" s="1">
        <v>64</v>
      </c>
      <c r="J116" s="105">
        <v>45145</v>
      </c>
      <c r="K116" s="105"/>
      <c r="N116" s="10"/>
    </row>
    <row r="117" spans="1:28">
      <c r="A117" s="14">
        <v>828</v>
      </c>
      <c r="B117" s="131" t="s">
        <v>54</v>
      </c>
      <c r="C117" s="3" t="s">
        <v>24</v>
      </c>
      <c r="G117" s="51" t="s">
        <v>53</v>
      </c>
      <c r="J117" s="105">
        <v>45145</v>
      </c>
      <c r="K117" s="105"/>
      <c r="N117" s="10"/>
    </row>
    <row r="118" spans="1:28">
      <c r="A118" s="14">
        <v>836</v>
      </c>
      <c r="B118" s="131" t="s">
        <v>54</v>
      </c>
      <c r="C118" s="6" t="s">
        <v>46</v>
      </c>
      <c r="G118" s="51" t="s">
        <v>53</v>
      </c>
      <c r="H118" s="1" t="str">
        <f t="shared" ref="H118:H131" si="2">IF(I118 &lt; 24, "Heifer", "Cow")</f>
        <v>Cow</v>
      </c>
      <c r="I118" s="1">
        <v>76</v>
      </c>
      <c r="J118" s="105">
        <v>45145</v>
      </c>
      <c r="K118" s="105"/>
      <c r="N118" s="10"/>
    </row>
    <row r="119" spans="1:28">
      <c r="A119" s="14">
        <v>791</v>
      </c>
      <c r="B119" s="131" t="s">
        <v>54</v>
      </c>
      <c r="C119" s="3" t="s">
        <v>24</v>
      </c>
      <c r="G119" s="51" t="s">
        <v>53</v>
      </c>
      <c r="H119" s="1" t="str">
        <f t="shared" si="2"/>
        <v>Cow</v>
      </c>
      <c r="I119" s="1">
        <v>88</v>
      </c>
      <c r="J119" s="105">
        <v>45145</v>
      </c>
      <c r="K119" s="105"/>
      <c r="N119" s="10"/>
    </row>
    <row r="120" spans="1:28">
      <c r="A120" s="14">
        <v>884</v>
      </c>
      <c r="B120" s="131" t="s">
        <v>54</v>
      </c>
      <c r="C120" s="3" t="s">
        <v>24</v>
      </c>
      <c r="G120" s="51" t="s">
        <v>53</v>
      </c>
      <c r="H120" s="1" t="str">
        <f t="shared" si="2"/>
        <v>Cow</v>
      </c>
      <c r="I120" s="1">
        <v>52</v>
      </c>
      <c r="J120" s="105">
        <v>45145</v>
      </c>
      <c r="K120" s="105"/>
      <c r="N120" s="10"/>
    </row>
    <row r="121" spans="1:28">
      <c r="A121" s="14">
        <v>652</v>
      </c>
      <c r="B121" s="131" t="s">
        <v>54</v>
      </c>
      <c r="C121" s="4" t="s">
        <v>29</v>
      </c>
      <c r="D121" s="113"/>
      <c r="E121" s="113"/>
      <c r="F121" s="113"/>
      <c r="G121" s="51" t="s">
        <v>53</v>
      </c>
      <c r="H121" s="1" t="str">
        <f t="shared" si="2"/>
        <v>Cow</v>
      </c>
      <c r="I121" s="1">
        <v>136</v>
      </c>
      <c r="J121" s="105">
        <v>45145</v>
      </c>
      <c r="K121" s="106"/>
      <c r="L121" s="50" t="s">
        <v>26</v>
      </c>
      <c r="M121" s="102" t="s">
        <v>107</v>
      </c>
      <c r="N121" s="131" t="s">
        <v>54</v>
      </c>
      <c r="O121" s="4" t="s">
        <v>29</v>
      </c>
      <c r="P121" s="113"/>
      <c r="Q121" s="113"/>
      <c r="R121" s="113"/>
      <c r="S121" s="1" t="s">
        <v>25</v>
      </c>
      <c r="T121" s="1" t="s">
        <v>27</v>
      </c>
      <c r="W121" s="24">
        <v>45485</v>
      </c>
      <c r="X121" s="9"/>
      <c r="Y121" s="9"/>
      <c r="Z121" s="113"/>
      <c r="AA121" s="113"/>
      <c r="AB121" s="113"/>
    </row>
    <row r="122" spans="1:28">
      <c r="A122" s="14">
        <v>858</v>
      </c>
      <c r="B122" s="131" t="s">
        <v>54</v>
      </c>
      <c r="C122" s="3" t="s">
        <v>24</v>
      </c>
      <c r="G122" s="51" t="s">
        <v>53</v>
      </c>
      <c r="H122" s="1" t="str">
        <f t="shared" si="2"/>
        <v>Cow</v>
      </c>
      <c r="I122" s="1">
        <v>64</v>
      </c>
      <c r="J122" s="105">
        <v>45145</v>
      </c>
      <c r="K122" s="105"/>
      <c r="N122" s="10"/>
    </row>
    <row r="123" spans="1:28">
      <c r="A123" s="14">
        <v>861</v>
      </c>
      <c r="B123" s="131" t="s">
        <v>54</v>
      </c>
      <c r="C123" s="6" t="s">
        <v>46</v>
      </c>
      <c r="G123" s="51" t="s">
        <v>53</v>
      </c>
      <c r="H123" s="1" t="str">
        <f t="shared" si="2"/>
        <v>Cow</v>
      </c>
      <c r="I123" s="1">
        <v>64</v>
      </c>
      <c r="J123" s="105">
        <v>45145</v>
      </c>
      <c r="K123" s="105"/>
      <c r="N123" s="10"/>
    </row>
    <row r="124" spans="1:28">
      <c r="A124" s="14">
        <v>846</v>
      </c>
      <c r="B124" s="131" t="s">
        <v>54</v>
      </c>
      <c r="C124" s="6" t="s">
        <v>46</v>
      </c>
      <c r="G124" s="51" t="s">
        <v>53</v>
      </c>
      <c r="H124" s="1" t="str">
        <f t="shared" si="2"/>
        <v>Cow</v>
      </c>
      <c r="I124" s="1">
        <v>64</v>
      </c>
      <c r="J124" s="105">
        <v>45145</v>
      </c>
      <c r="K124" s="105"/>
      <c r="N124" s="10"/>
    </row>
    <row r="125" spans="1:28">
      <c r="A125" s="14">
        <v>825</v>
      </c>
      <c r="B125" s="131" t="s">
        <v>54</v>
      </c>
      <c r="C125" s="6" t="s">
        <v>46</v>
      </c>
      <c r="G125" s="51" t="s">
        <v>53</v>
      </c>
      <c r="H125" s="1" t="str">
        <f t="shared" si="2"/>
        <v>Cow</v>
      </c>
      <c r="I125" s="1">
        <v>76</v>
      </c>
      <c r="J125" s="105">
        <v>45145</v>
      </c>
      <c r="K125" s="105"/>
      <c r="N125" s="10"/>
    </row>
    <row r="126" spans="1:28">
      <c r="A126" s="14">
        <v>874</v>
      </c>
      <c r="B126" s="131" t="s">
        <v>54</v>
      </c>
      <c r="C126" s="6" t="s">
        <v>46</v>
      </c>
      <c r="G126" s="51" t="s">
        <v>53</v>
      </c>
      <c r="H126" s="1" t="str">
        <f t="shared" si="2"/>
        <v>Cow</v>
      </c>
      <c r="I126" s="1">
        <v>64</v>
      </c>
      <c r="J126" s="105">
        <v>45145</v>
      </c>
      <c r="K126" s="105"/>
      <c r="N126" s="10"/>
    </row>
    <row r="127" spans="1:28">
      <c r="A127" s="14">
        <v>862</v>
      </c>
      <c r="B127" s="131" t="s">
        <v>54</v>
      </c>
      <c r="C127" s="3" t="s">
        <v>24</v>
      </c>
      <c r="G127" s="51" t="s">
        <v>53</v>
      </c>
      <c r="H127" s="1" t="str">
        <f t="shared" si="2"/>
        <v>Cow</v>
      </c>
      <c r="I127" s="1">
        <v>64</v>
      </c>
      <c r="J127" s="105">
        <v>45145</v>
      </c>
      <c r="K127" s="105"/>
      <c r="N127" s="10"/>
    </row>
    <row r="128" spans="1:28">
      <c r="A128" s="14">
        <v>831</v>
      </c>
      <c r="B128" s="131" t="s">
        <v>54</v>
      </c>
      <c r="C128" s="6" t="s">
        <v>46</v>
      </c>
      <c r="G128" s="51" t="s">
        <v>53</v>
      </c>
      <c r="H128" s="1" t="str">
        <f t="shared" si="2"/>
        <v>Cow</v>
      </c>
      <c r="I128" s="1">
        <v>76</v>
      </c>
      <c r="J128" s="105">
        <v>45145</v>
      </c>
      <c r="K128" s="105"/>
      <c r="N128" s="10"/>
    </row>
    <row r="129" spans="1:28">
      <c r="A129" s="14">
        <v>850</v>
      </c>
      <c r="B129" s="131" t="s">
        <v>54</v>
      </c>
      <c r="C129" s="3" t="s">
        <v>24</v>
      </c>
      <c r="G129" s="51" t="s">
        <v>53</v>
      </c>
      <c r="H129" s="1" t="str">
        <f t="shared" si="2"/>
        <v>Cow</v>
      </c>
      <c r="I129" s="1">
        <v>64</v>
      </c>
      <c r="J129" s="105">
        <v>45145</v>
      </c>
      <c r="K129" s="105"/>
      <c r="N129" s="10"/>
    </row>
    <row r="130" spans="1:28">
      <c r="A130" s="14">
        <v>824</v>
      </c>
      <c r="B130" s="131" t="s">
        <v>54</v>
      </c>
      <c r="C130" s="6" t="s">
        <v>46</v>
      </c>
      <c r="G130" s="51" t="s">
        <v>53</v>
      </c>
      <c r="H130" s="1" t="str">
        <f t="shared" si="2"/>
        <v>Cow</v>
      </c>
      <c r="I130" s="1">
        <v>76</v>
      </c>
      <c r="J130" s="105">
        <v>45145</v>
      </c>
      <c r="K130" s="105"/>
      <c r="N130" s="10"/>
    </row>
    <row r="131" spans="1:28">
      <c r="A131" s="14">
        <v>916</v>
      </c>
      <c r="B131" s="131" t="s">
        <v>54</v>
      </c>
      <c r="C131" s="3" t="s">
        <v>24</v>
      </c>
      <c r="D131" s="113"/>
      <c r="E131" s="113"/>
      <c r="F131" s="113"/>
      <c r="G131" s="51" t="s">
        <v>53</v>
      </c>
      <c r="H131" s="1" t="str">
        <f t="shared" si="2"/>
        <v>Cow</v>
      </c>
      <c r="I131" s="1">
        <v>40</v>
      </c>
      <c r="J131" s="105">
        <v>45145</v>
      </c>
      <c r="K131" s="106"/>
      <c r="L131" s="50" t="s">
        <v>26</v>
      </c>
      <c r="M131" s="102" t="s">
        <v>108</v>
      </c>
      <c r="N131" s="131" t="s">
        <v>54</v>
      </c>
      <c r="O131" s="4" t="s">
        <v>29</v>
      </c>
      <c r="P131" s="113"/>
      <c r="Q131" s="113"/>
      <c r="R131" s="113"/>
      <c r="S131" s="1" t="s">
        <v>25</v>
      </c>
      <c r="T131" s="1" t="s">
        <v>27</v>
      </c>
      <c r="W131" s="25" t="s">
        <v>109</v>
      </c>
      <c r="X131" s="9"/>
      <c r="Y131" s="9"/>
      <c r="Z131" s="113"/>
      <c r="AA131" s="113"/>
      <c r="AB131" s="113"/>
    </row>
    <row r="132" spans="1:28">
      <c r="A132" s="14">
        <v>809</v>
      </c>
      <c r="B132" s="131" t="s">
        <v>54</v>
      </c>
      <c r="C132" s="3" t="s">
        <v>24</v>
      </c>
      <c r="G132" s="51" t="s">
        <v>53</v>
      </c>
      <c r="J132" s="105">
        <v>45145</v>
      </c>
      <c r="K132" s="105"/>
      <c r="N132" s="10"/>
    </row>
    <row r="133" spans="1:28">
      <c r="A133" s="14">
        <v>787</v>
      </c>
      <c r="B133" s="131" t="s">
        <v>54</v>
      </c>
      <c r="C133" s="3" t="s">
        <v>24</v>
      </c>
      <c r="G133" s="51" t="s">
        <v>53</v>
      </c>
      <c r="J133" s="105">
        <v>45145</v>
      </c>
      <c r="K133" s="105"/>
      <c r="N133" s="10"/>
    </row>
    <row r="134" spans="1:28">
      <c r="A134" s="14">
        <v>917</v>
      </c>
      <c r="B134" s="131" t="s">
        <v>54</v>
      </c>
      <c r="C134" s="4" t="s">
        <v>29</v>
      </c>
      <c r="G134" s="51" t="s">
        <v>53</v>
      </c>
      <c r="J134" s="105">
        <v>45145</v>
      </c>
      <c r="K134" s="105"/>
      <c r="N134" s="10"/>
    </row>
    <row r="135" spans="1:28">
      <c r="A135" s="14">
        <v>901</v>
      </c>
      <c r="B135" s="131" t="s">
        <v>54</v>
      </c>
      <c r="C135" s="6" t="s">
        <v>46</v>
      </c>
      <c r="G135" s="51" t="s">
        <v>53</v>
      </c>
      <c r="H135" s="1" t="str">
        <f t="shared" ref="H135:H146" si="3">IF(I135 &lt; 24, "Heifer", "Cow")</f>
        <v>Cow</v>
      </c>
      <c r="I135" s="1">
        <v>52</v>
      </c>
      <c r="J135" s="105">
        <v>45145</v>
      </c>
      <c r="K135" s="105"/>
      <c r="N135" s="10"/>
    </row>
    <row r="136" spans="1:28">
      <c r="A136" s="14">
        <v>883</v>
      </c>
      <c r="B136" s="131" t="s">
        <v>54</v>
      </c>
      <c r="C136" s="3" t="s">
        <v>24</v>
      </c>
      <c r="G136" s="51" t="s">
        <v>53</v>
      </c>
      <c r="H136" s="1" t="str">
        <f t="shared" si="3"/>
        <v>Cow</v>
      </c>
      <c r="I136" s="1">
        <v>52</v>
      </c>
      <c r="J136" s="105">
        <v>45145</v>
      </c>
      <c r="K136" s="105"/>
      <c r="N136" s="10"/>
    </row>
    <row r="137" spans="1:28">
      <c r="A137" s="14">
        <v>844</v>
      </c>
      <c r="B137" s="131" t="s">
        <v>54</v>
      </c>
      <c r="C137" s="3" t="s">
        <v>24</v>
      </c>
      <c r="D137" s="113"/>
      <c r="E137" s="113"/>
      <c r="F137" s="113"/>
      <c r="G137" s="51" t="s">
        <v>53</v>
      </c>
      <c r="H137" s="1" t="str">
        <f t="shared" si="3"/>
        <v>Cow</v>
      </c>
      <c r="I137" s="1">
        <v>65</v>
      </c>
      <c r="J137" s="105">
        <v>45145</v>
      </c>
      <c r="K137" s="106"/>
      <c r="L137" s="50" t="s">
        <v>26</v>
      </c>
      <c r="M137" s="102" t="s">
        <v>110</v>
      </c>
      <c r="N137" s="131" t="s">
        <v>54</v>
      </c>
      <c r="O137" s="4" t="s">
        <v>29</v>
      </c>
      <c r="P137" s="113"/>
      <c r="Q137" s="113"/>
      <c r="R137" s="113"/>
      <c r="S137" s="1" t="s">
        <v>25</v>
      </c>
      <c r="T137" s="1" t="s">
        <v>27</v>
      </c>
      <c r="W137" s="25" t="s">
        <v>109</v>
      </c>
      <c r="X137" s="9"/>
      <c r="Y137" s="9"/>
      <c r="Z137" s="113"/>
      <c r="AA137" s="113"/>
      <c r="AB137" s="113"/>
    </row>
    <row r="138" spans="1:28">
      <c r="A138" s="14">
        <v>924</v>
      </c>
      <c r="B138" s="131" t="s">
        <v>54</v>
      </c>
      <c r="C138" s="3" t="s">
        <v>24</v>
      </c>
      <c r="D138" s="113"/>
      <c r="E138" s="113"/>
      <c r="F138" s="113"/>
      <c r="G138" s="51" t="s">
        <v>53</v>
      </c>
      <c r="H138" s="1" t="str">
        <f t="shared" si="3"/>
        <v>Cow</v>
      </c>
      <c r="I138" s="1">
        <v>40</v>
      </c>
      <c r="J138" s="105">
        <v>45145</v>
      </c>
      <c r="K138" s="106"/>
      <c r="L138" s="50" t="s">
        <v>26</v>
      </c>
      <c r="M138" s="102" t="s">
        <v>111</v>
      </c>
      <c r="N138" s="131" t="s">
        <v>54</v>
      </c>
      <c r="O138" s="4" t="s">
        <v>29</v>
      </c>
      <c r="P138" s="113"/>
      <c r="Q138" s="113"/>
      <c r="R138" s="113"/>
      <c r="S138" s="1" t="s">
        <v>25</v>
      </c>
      <c r="T138" s="1" t="s">
        <v>27</v>
      </c>
      <c r="W138" s="25" t="s">
        <v>109</v>
      </c>
      <c r="X138" s="9"/>
      <c r="Y138" s="9"/>
      <c r="Z138" s="113"/>
      <c r="AA138" s="113"/>
      <c r="AB138" s="113"/>
    </row>
    <row r="139" spans="1:28">
      <c r="A139" s="14">
        <v>928</v>
      </c>
      <c r="B139" s="131" t="s">
        <v>54</v>
      </c>
      <c r="C139" s="3" t="s">
        <v>24</v>
      </c>
      <c r="G139" s="51" t="s">
        <v>53</v>
      </c>
      <c r="H139" s="1" t="str">
        <f t="shared" si="3"/>
        <v>Cow</v>
      </c>
      <c r="I139" s="1">
        <v>40</v>
      </c>
      <c r="J139" s="105">
        <v>45145</v>
      </c>
      <c r="K139" s="105"/>
      <c r="N139" s="10"/>
    </row>
    <row r="140" spans="1:28">
      <c r="A140" s="14">
        <v>920</v>
      </c>
      <c r="B140" s="131" t="s">
        <v>54</v>
      </c>
      <c r="C140" s="3" t="s">
        <v>24</v>
      </c>
      <c r="G140" s="51" t="s">
        <v>53</v>
      </c>
      <c r="H140" s="1" t="str">
        <f t="shared" si="3"/>
        <v>Cow</v>
      </c>
      <c r="I140" s="1">
        <v>40</v>
      </c>
      <c r="J140" s="105">
        <v>45145</v>
      </c>
      <c r="K140" s="105"/>
      <c r="N140" s="10"/>
    </row>
    <row r="141" spans="1:28">
      <c r="A141" s="14">
        <v>899</v>
      </c>
      <c r="B141" s="131" t="s">
        <v>54</v>
      </c>
      <c r="C141" s="3" t="s">
        <v>24</v>
      </c>
      <c r="G141" s="51" t="s">
        <v>53</v>
      </c>
      <c r="H141" s="1" t="str">
        <f t="shared" si="3"/>
        <v>Cow</v>
      </c>
      <c r="I141" s="1">
        <v>52</v>
      </c>
      <c r="J141" s="105">
        <v>45145</v>
      </c>
      <c r="K141" s="105"/>
      <c r="N141" s="10"/>
    </row>
    <row r="142" spans="1:28">
      <c r="A142" s="14">
        <v>887</v>
      </c>
      <c r="B142" s="131" t="s">
        <v>54</v>
      </c>
      <c r="C142" s="6" t="s">
        <v>46</v>
      </c>
      <c r="G142" s="51" t="s">
        <v>53</v>
      </c>
      <c r="H142" s="1" t="str">
        <f t="shared" si="3"/>
        <v>Cow</v>
      </c>
      <c r="I142" s="1">
        <v>52</v>
      </c>
      <c r="J142" s="105">
        <v>45145</v>
      </c>
      <c r="K142" s="105"/>
      <c r="N142" s="10"/>
    </row>
    <row r="143" spans="1:28">
      <c r="A143" s="14">
        <v>908</v>
      </c>
      <c r="B143" s="131" t="s">
        <v>54</v>
      </c>
      <c r="C143" s="4" t="s">
        <v>29</v>
      </c>
      <c r="G143" s="51" t="s">
        <v>53</v>
      </c>
      <c r="H143" s="1" t="str">
        <f t="shared" si="3"/>
        <v>Cow</v>
      </c>
      <c r="I143" s="1">
        <v>41</v>
      </c>
      <c r="J143" s="105">
        <v>45145</v>
      </c>
      <c r="K143" s="105"/>
      <c r="N143" s="10"/>
    </row>
    <row r="144" spans="1:28">
      <c r="A144" s="14">
        <v>912</v>
      </c>
      <c r="B144" s="131" t="s">
        <v>54</v>
      </c>
      <c r="C144" s="3" t="s">
        <v>24</v>
      </c>
      <c r="G144" s="51" t="s">
        <v>53</v>
      </c>
      <c r="H144" s="1" t="str">
        <f t="shared" si="3"/>
        <v>Cow</v>
      </c>
      <c r="I144" s="1">
        <v>40</v>
      </c>
      <c r="J144" s="105">
        <v>45145</v>
      </c>
      <c r="K144" s="105"/>
      <c r="N144" s="10"/>
    </row>
    <row r="145" spans="1:28">
      <c r="A145" s="14">
        <v>902</v>
      </c>
      <c r="B145" s="131" t="s">
        <v>54</v>
      </c>
      <c r="C145" s="3" t="s">
        <v>24</v>
      </c>
      <c r="G145" s="51" t="s">
        <v>53</v>
      </c>
      <c r="H145" s="1" t="str">
        <f t="shared" si="3"/>
        <v>Cow</v>
      </c>
      <c r="I145" s="1">
        <v>51</v>
      </c>
      <c r="J145" s="105">
        <v>45145</v>
      </c>
      <c r="K145" s="105"/>
      <c r="N145" s="10"/>
    </row>
    <row r="146" spans="1:28">
      <c r="A146" s="14">
        <v>889</v>
      </c>
      <c r="B146" s="131" t="s">
        <v>54</v>
      </c>
      <c r="C146" s="6" t="s">
        <v>46</v>
      </c>
      <c r="G146" s="51" t="s">
        <v>53</v>
      </c>
      <c r="H146" s="1" t="str">
        <f t="shared" si="3"/>
        <v>Cow</v>
      </c>
      <c r="I146" s="1">
        <v>52</v>
      </c>
      <c r="J146" s="105">
        <v>45145</v>
      </c>
      <c r="K146" s="105"/>
      <c r="N146" s="10"/>
    </row>
    <row r="147" spans="1:28">
      <c r="A147" s="14">
        <v>841</v>
      </c>
      <c r="B147" s="131" t="s">
        <v>54</v>
      </c>
      <c r="C147" s="3" t="s">
        <v>24</v>
      </c>
      <c r="G147" s="51" t="s">
        <v>53</v>
      </c>
      <c r="J147" s="105">
        <v>45145</v>
      </c>
      <c r="K147" s="105"/>
      <c r="N147" s="10"/>
    </row>
    <row r="148" spans="1:28">
      <c r="A148" s="14">
        <v>933</v>
      </c>
      <c r="B148" s="131" t="s">
        <v>54</v>
      </c>
      <c r="C148" s="3" t="s">
        <v>24</v>
      </c>
      <c r="G148" s="51" t="s">
        <v>53</v>
      </c>
      <c r="H148" s="1" t="str">
        <f t="shared" ref="H148:H153" si="4">IF(I148 &lt; 24, "Heifer", "Cow")</f>
        <v>Cow</v>
      </c>
      <c r="I148" s="1">
        <v>40</v>
      </c>
      <c r="J148" s="105">
        <v>45145</v>
      </c>
      <c r="K148" s="105"/>
      <c r="N148" s="10"/>
    </row>
    <row r="149" spans="1:28">
      <c r="A149" s="14">
        <v>923</v>
      </c>
      <c r="B149" s="131" t="s">
        <v>54</v>
      </c>
      <c r="C149" s="3" t="s">
        <v>24</v>
      </c>
      <c r="G149" s="51" t="s">
        <v>53</v>
      </c>
      <c r="H149" s="1" t="str">
        <f t="shared" si="4"/>
        <v>Cow</v>
      </c>
      <c r="I149" s="1">
        <v>40</v>
      </c>
      <c r="J149" s="105">
        <v>45145</v>
      </c>
      <c r="K149" s="105"/>
      <c r="N149" s="10"/>
    </row>
    <row r="150" spans="1:28">
      <c r="A150" s="14">
        <v>881</v>
      </c>
      <c r="B150" s="131" t="s">
        <v>54</v>
      </c>
      <c r="C150" s="4" t="s">
        <v>29</v>
      </c>
      <c r="G150" s="51" t="s">
        <v>53</v>
      </c>
      <c r="H150" s="1" t="str">
        <f t="shared" si="4"/>
        <v>Cow</v>
      </c>
      <c r="I150" s="1">
        <v>53</v>
      </c>
      <c r="J150" s="105">
        <v>45145</v>
      </c>
      <c r="K150" s="105"/>
      <c r="N150" s="10"/>
    </row>
    <row r="151" spans="1:28">
      <c r="A151" s="14">
        <v>929</v>
      </c>
      <c r="B151" s="131" t="s">
        <v>54</v>
      </c>
      <c r="C151" s="3" t="s">
        <v>24</v>
      </c>
      <c r="G151" s="51" t="s">
        <v>53</v>
      </c>
      <c r="H151" s="1" t="str">
        <f t="shared" si="4"/>
        <v>Cow</v>
      </c>
      <c r="I151" s="1">
        <v>40</v>
      </c>
      <c r="J151" s="105">
        <v>45145</v>
      </c>
      <c r="K151" s="105"/>
      <c r="N151" s="10"/>
    </row>
    <row r="152" spans="1:28">
      <c r="A152" s="14">
        <v>890</v>
      </c>
      <c r="B152" s="131" t="s">
        <v>54</v>
      </c>
      <c r="C152" s="3" t="s">
        <v>24</v>
      </c>
      <c r="G152" s="51" t="s">
        <v>53</v>
      </c>
      <c r="H152" s="1" t="str">
        <f t="shared" si="4"/>
        <v>Cow</v>
      </c>
      <c r="I152" s="1">
        <v>52</v>
      </c>
      <c r="J152" s="105">
        <v>45145</v>
      </c>
      <c r="K152" s="105"/>
      <c r="N152" s="10"/>
    </row>
    <row r="153" spans="1:28">
      <c r="A153" s="14">
        <v>915</v>
      </c>
      <c r="B153" s="131" t="s">
        <v>54</v>
      </c>
      <c r="C153" s="3" t="s">
        <v>24</v>
      </c>
      <c r="G153" s="51" t="s">
        <v>53</v>
      </c>
      <c r="H153" s="1" t="str">
        <f t="shared" si="4"/>
        <v>Cow</v>
      </c>
      <c r="I153" s="1">
        <v>40</v>
      </c>
      <c r="J153" s="105">
        <v>45145</v>
      </c>
      <c r="K153" s="105"/>
      <c r="N153" s="10"/>
    </row>
    <row r="154" spans="1:28">
      <c r="A154" s="14">
        <v>804</v>
      </c>
      <c r="B154" s="131" t="s">
        <v>54</v>
      </c>
      <c r="C154" s="4" t="s">
        <v>29</v>
      </c>
      <c r="G154" s="51" t="s">
        <v>53</v>
      </c>
      <c r="J154" s="105">
        <v>45145</v>
      </c>
      <c r="K154" s="105"/>
      <c r="N154" s="10"/>
    </row>
    <row r="155" spans="1:28">
      <c r="A155" s="14">
        <v>805</v>
      </c>
      <c r="B155" s="131" t="s">
        <v>54</v>
      </c>
      <c r="C155" s="3" t="s">
        <v>24</v>
      </c>
      <c r="D155" s="113"/>
      <c r="E155" s="113"/>
      <c r="F155" s="113"/>
      <c r="G155" s="51" t="s">
        <v>53</v>
      </c>
      <c r="H155" s="1" t="str">
        <f>IF(I155 &lt; 24, "Heifer", "Cow")</f>
        <v>Cow</v>
      </c>
      <c r="I155" s="1">
        <v>88</v>
      </c>
      <c r="J155" s="105">
        <v>45145</v>
      </c>
      <c r="K155" s="106"/>
      <c r="L155" s="50" t="s">
        <v>26</v>
      </c>
      <c r="M155" s="102" t="s">
        <v>112</v>
      </c>
      <c r="N155" s="131" t="s">
        <v>54</v>
      </c>
      <c r="O155" s="3" t="s">
        <v>24</v>
      </c>
      <c r="P155" s="113"/>
      <c r="Q155" s="113"/>
      <c r="R155" s="113"/>
      <c r="S155" s="1" t="s">
        <v>25</v>
      </c>
      <c r="T155" s="1" t="s">
        <v>27</v>
      </c>
      <c r="U155" s="106">
        <v>45503</v>
      </c>
      <c r="W155" s="25" t="s">
        <v>113</v>
      </c>
      <c r="X155" s="9"/>
      <c r="Y155" s="9"/>
      <c r="Z155" s="113"/>
      <c r="AA155" s="113"/>
      <c r="AB155" s="113"/>
    </row>
    <row r="156" spans="1:28">
      <c r="A156" s="14">
        <v>712</v>
      </c>
      <c r="B156" s="131" t="s">
        <v>54</v>
      </c>
      <c r="C156" s="3" t="s">
        <v>24</v>
      </c>
      <c r="G156" s="51" t="s">
        <v>53</v>
      </c>
      <c r="H156" s="1" t="str">
        <f>IF(I156 &lt; 24, "Heifer", "Cow")</f>
        <v>Cow</v>
      </c>
      <c r="I156" s="1">
        <v>112</v>
      </c>
      <c r="J156" s="105">
        <v>45145</v>
      </c>
      <c r="K156" s="106"/>
      <c r="L156" s="50" t="s">
        <v>26</v>
      </c>
      <c r="M156" s="11" t="s">
        <v>114</v>
      </c>
      <c r="N156" s="10" t="s">
        <v>54</v>
      </c>
      <c r="O156" s="3" t="s">
        <v>24</v>
      </c>
      <c r="T156" s="1" t="s">
        <v>27</v>
      </c>
      <c r="W156" s="115">
        <v>45525</v>
      </c>
    </row>
    <row r="157" spans="1:28">
      <c r="A157" s="14">
        <v>731</v>
      </c>
      <c r="B157" s="131" t="s">
        <v>54</v>
      </c>
      <c r="C157" s="3" t="s">
        <v>24</v>
      </c>
      <c r="E157" s="3" t="s">
        <v>24</v>
      </c>
      <c r="G157" s="51" t="s">
        <v>53</v>
      </c>
      <c r="H157" s="1" t="str">
        <f>IF(I157 &lt; 24, "Heifer", "Cow")</f>
        <v>Cow</v>
      </c>
      <c r="I157" s="1">
        <v>112</v>
      </c>
      <c r="J157" s="105">
        <v>45145</v>
      </c>
      <c r="K157" s="115">
        <v>45509</v>
      </c>
      <c r="L157" s="50" t="s">
        <v>26</v>
      </c>
      <c r="M157" s="11" t="s">
        <v>115</v>
      </c>
      <c r="N157" s="10" t="s">
        <v>54</v>
      </c>
      <c r="O157" s="3" t="s">
        <v>24</v>
      </c>
      <c r="T157" s="1" t="s">
        <v>27</v>
      </c>
      <c r="W157" s="115">
        <v>45509</v>
      </c>
    </row>
    <row r="158" spans="1:28">
      <c r="A158" s="14">
        <v>799</v>
      </c>
      <c r="B158" s="131" t="s">
        <v>54</v>
      </c>
      <c r="C158" s="3" t="s">
        <v>24</v>
      </c>
      <c r="E158" s="3" t="s">
        <v>24</v>
      </c>
      <c r="G158" s="51" t="s">
        <v>53</v>
      </c>
      <c r="H158" s="1" t="str">
        <f>IF(I158 &lt; 24, "Heifer", "Cow")</f>
        <v>Cow</v>
      </c>
      <c r="I158" s="1">
        <v>88</v>
      </c>
      <c r="J158" s="105">
        <v>45145</v>
      </c>
      <c r="K158" s="115">
        <v>45516</v>
      </c>
      <c r="L158" s="50" t="s">
        <v>26</v>
      </c>
      <c r="M158" s="11" t="s">
        <v>116</v>
      </c>
      <c r="N158" s="10" t="s">
        <v>54</v>
      </c>
      <c r="O158" s="3" t="s">
        <v>24</v>
      </c>
      <c r="T158" s="1" t="s">
        <v>27</v>
      </c>
      <c r="W158" s="115">
        <v>45516</v>
      </c>
    </row>
    <row r="159" spans="1:28">
      <c r="A159" s="14">
        <v>748</v>
      </c>
      <c r="B159" s="131" t="s">
        <v>54</v>
      </c>
      <c r="C159" s="3" t="s">
        <v>24</v>
      </c>
      <c r="G159" s="51" t="s">
        <v>53</v>
      </c>
      <c r="H159" s="1" t="str">
        <f>IF(I159 &lt; 24, "Heifer", "Cow")</f>
        <v>Cow</v>
      </c>
      <c r="I159" s="1">
        <v>100</v>
      </c>
      <c r="J159" s="105">
        <v>45145</v>
      </c>
      <c r="K159" s="105"/>
      <c r="N159" s="10"/>
    </row>
    <row r="160" spans="1:28">
      <c r="A160" s="14">
        <v>724</v>
      </c>
      <c r="B160" s="131" t="s">
        <v>54</v>
      </c>
      <c r="C160" s="4" t="s">
        <v>29</v>
      </c>
      <c r="G160" s="51" t="s">
        <v>53</v>
      </c>
      <c r="J160" s="105">
        <v>45145</v>
      </c>
      <c r="K160" s="105"/>
      <c r="N160" s="10"/>
    </row>
    <row r="161" spans="1:37">
      <c r="A161" s="14">
        <v>763</v>
      </c>
      <c r="B161" s="131" t="s">
        <v>54</v>
      </c>
      <c r="C161" s="3" t="s">
        <v>24</v>
      </c>
      <c r="E161" s="3" t="s">
        <v>24</v>
      </c>
      <c r="G161" s="51" t="s">
        <v>53</v>
      </c>
      <c r="H161" s="1" t="str">
        <f>IF(I161 &lt; 24, "Heifer", "Cow")</f>
        <v>Cow</v>
      </c>
      <c r="I161" s="1">
        <v>100</v>
      </c>
      <c r="J161" s="105">
        <v>45145</v>
      </c>
      <c r="K161" s="115">
        <v>45527</v>
      </c>
      <c r="L161" s="50" t="s">
        <v>26</v>
      </c>
      <c r="M161" s="11" t="s">
        <v>117</v>
      </c>
      <c r="N161" s="10" t="s">
        <v>54</v>
      </c>
      <c r="O161" s="3" t="s">
        <v>24</v>
      </c>
      <c r="T161" s="1" t="s">
        <v>27</v>
      </c>
      <c r="W161" s="115">
        <v>45527</v>
      </c>
    </row>
    <row r="162" spans="1:37">
      <c r="A162" s="14">
        <v>733</v>
      </c>
      <c r="B162" s="131" t="s">
        <v>54</v>
      </c>
      <c r="C162" s="4" t="s">
        <v>29</v>
      </c>
      <c r="D162" s="113"/>
      <c r="E162" s="113"/>
      <c r="F162" s="113"/>
      <c r="G162" s="51" t="s">
        <v>53</v>
      </c>
      <c r="H162" s="1" t="str">
        <f>IF(I162 &lt; 24, "Heifer", "Cow")</f>
        <v>Cow</v>
      </c>
      <c r="I162" s="1">
        <v>112</v>
      </c>
      <c r="J162" s="105">
        <v>45145</v>
      </c>
      <c r="K162" s="106"/>
      <c r="L162" s="50" t="s">
        <v>26</v>
      </c>
      <c r="M162" s="102" t="s">
        <v>118</v>
      </c>
      <c r="N162" s="131" t="s">
        <v>54</v>
      </c>
      <c r="O162" s="4" t="s">
        <v>29</v>
      </c>
      <c r="P162" s="113"/>
      <c r="Q162" s="113"/>
      <c r="R162" s="113"/>
      <c r="S162" s="1" t="s">
        <v>25</v>
      </c>
      <c r="T162" s="1" t="s">
        <v>27</v>
      </c>
      <c r="U162" s="106">
        <v>45468</v>
      </c>
      <c r="W162" s="25" t="s">
        <v>119</v>
      </c>
      <c r="X162" s="9"/>
      <c r="Y162" s="9"/>
      <c r="Z162" s="113"/>
      <c r="AA162" s="113"/>
      <c r="AB162" s="113"/>
    </row>
    <row r="163" spans="1:37">
      <c r="A163" s="14">
        <v>729</v>
      </c>
      <c r="B163" s="131" t="s">
        <v>54</v>
      </c>
      <c r="C163" s="4" t="s">
        <v>29</v>
      </c>
      <c r="G163" s="51" t="s">
        <v>53</v>
      </c>
      <c r="H163" s="1" t="str">
        <f>IF(I163 &lt; 24, "Heifer", "Cow")</f>
        <v>Cow</v>
      </c>
      <c r="I163" s="1">
        <v>112</v>
      </c>
      <c r="J163" s="105">
        <v>45145</v>
      </c>
      <c r="K163" s="105"/>
      <c r="N163" s="10"/>
    </row>
    <row r="164" spans="1:37">
      <c r="A164" s="14">
        <v>726</v>
      </c>
      <c r="B164" s="131" t="s">
        <v>54</v>
      </c>
      <c r="C164" s="3" t="s">
        <v>24</v>
      </c>
      <c r="G164" s="51" t="s">
        <v>53</v>
      </c>
      <c r="J164" s="105">
        <v>45145</v>
      </c>
      <c r="K164" s="105"/>
      <c r="N164" s="10"/>
    </row>
    <row r="165" spans="1:37">
      <c r="A165" s="14">
        <v>759</v>
      </c>
      <c r="B165" s="131" t="s">
        <v>54</v>
      </c>
      <c r="C165" s="3" t="s">
        <v>24</v>
      </c>
      <c r="E165" s="4" t="s">
        <v>29</v>
      </c>
      <c r="G165" s="51" t="s">
        <v>53</v>
      </c>
      <c r="H165" s="1" t="str">
        <f>IF(I165 &lt; 24, "Heifer", "Cow")</f>
        <v>Cow</v>
      </c>
      <c r="I165" s="1">
        <v>100</v>
      </c>
      <c r="J165" s="105">
        <v>45145</v>
      </c>
      <c r="K165" s="114">
        <v>45539</v>
      </c>
      <c r="L165" s="50" t="s">
        <v>26</v>
      </c>
      <c r="M165" s="11" t="s">
        <v>120</v>
      </c>
      <c r="N165" s="10" t="s">
        <v>54</v>
      </c>
      <c r="O165" s="3" t="s">
        <v>24</v>
      </c>
      <c r="T165" s="1" t="s">
        <v>27</v>
      </c>
      <c r="W165" s="115">
        <v>45539</v>
      </c>
    </row>
    <row r="166" spans="1:37">
      <c r="A166" s="14">
        <v>906</v>
      </c>
      <c r="B166" s="131" t="s">
        <v>54</v>
      </c>
      <c r="C166" s="3" t="s">
        <v>24</v>
      </c>
      <c r="E166" s="4" t="s">
        <v>29</v>
      </c>
      <c r="G166" s="51" t="s">
        <v>53</v>
      </c>
      <c r="H166" s="1" t="str">
        <f>IF(I166 &lt; 24, "Heifer", "Cow")</f>
        <v>Cow</v>
      </c>
      <c r="I166" s="1">
        <v>50</v>
      </c>
      <c r="J166" s="105">
        <v>45145</v>
      </c>
      <c r="K166" s="115">
        <v>45546</v>
      </c>
      <c r="L166" s="50" t="s">
        <v>26</v>
      </c>
      <c r="M166" s="11" t="s">
        <v>121</v>
      </c>
      <c r="N166" s="10" t="s">
        <v>54</v>
      </c>
      <c r="O166" s="3" t="s">
        <v>24</v>
      </c>
      <c r="T166" s="1" t="s">
        <v>27</v>
      </c>
      <c r="W166" s="115">
        <v>45546</v>
      </c>
    </row>
    <row r="167" spans="1:37">
      <c r="A167" s="14">
        <v>619</v>
      </c>
      <c r="B167" s="131" t="s">
        <v>54</v>
      </c>
      <c r="C167" s="4" t="s">
        <v>29</v>
      </c>
      <c r="G167" s="51" t="s">
        <v>53</v>
      </c>
      <c r="H167" s="1" t="str">
        <f t="shared" ref="H167:H168" si="5">IF(I167 &lt; 24, "Heifer", "Cow")</f>
        <v>Cow</v>
      </c>
      <c r="I167" s="1">
        <v>148</v>
      </c>
      <c r="J167" s="105">
        <v>45145</v>
      </c>
      <c r="K167" s="105"/>
      <c r="N167" s="10"/>
    </row>
    <row r="168" spans="1:37">
      <c r="A168" s="14">
        <v>598</v>
      </c>
      <c r="B168" s="131" t="s">
        <v>54</v>
      </c>
      <c r="C168" s="3" t="s">
        <v>24</v>
      </c>
      <c r="G168" s="51" t="s">
        <v>53</v>
      </c>
      <c r="H168" s="1" t="str">
        <f t="shared" si="5"/>
        <v>Cow</v>
      </c>
      <c r="I168" s="1">
        <v>111</v>
      </c>
      <c r="J168" s="105">
        <v>45145</v>
      </c>
      <c r="K168" s="105"/>
      <c r="N168" s="10"/>
    </row>
    <row r="169" spans="1:37">
      <c r="A169" s="14">
        <v>313</v>
      </c>
      <c r="B169" s="131" t="s">
        <v>54</v>
      </c>
      <c r="C169" s="6" t="s">
        <v>46</v>
      </c>
      <c r="G169" s="51" t="s">
        <v>53</v>
      </c>
      <c r="J169" s="105">
        <v>45145</v>
      </c>
      <c r="K169" s="105"/>
      <c r="N169" s="10"/>
    </row>
    <row r="170" spans="1:37">
      <c r="A170" s="14">
        <v>692</v>
      </c>
      <c r="B170" s="131" t="s">
        <v>54</v>
      </c>
      <c r="C170" s="3" t="s">
        <v>24</v>
      </c>
      <c r="G170" s="51" t="s">
        <v>53</v>
      </c>
      <c r="H170" s="1" t="str">
        <f t="shared" ref="H170:H172" si="6">IF(I170 &lt; 24, "Heifer", "Cow")</f>
        <v>Cow</v>
      </c>
      <c r="I170" s="1">
        <v>124</v>
      </c>
      <c r="J170" s="105">
        <v>45145</v>
      </c>
      <c r="K170" s="105"/>
      <c r="N170" s="10"/>
    </row>
    <row r="171" spans="1:37">
      <c r="A171" s="14">
        <v>673</v>
      </c>
      <c r="B171" s="131" t="s">
        <v>54</v>
      </c>
      <c r="C171" s="3" t="s">
        <v>24</v>
      </c>
      <c r="G171" s="51" t="s">
        <v>53</v>
      </c>
      <c r="H171" s="1" t="str">
        <f t="shared" si="6"/>
        <v>Cow</v>
      </c>
      <c r="I171" s="1">
        <v>64</v>
      </c>
      <c r="J171" s="105">
        <v>45145</v>
      </c>
      <c r="K171" s="105"/>
      <c r="N171" s="10"/>
    </row>
    <row r="172" spans="1:37">
      <c r="A172" s="14">
        <v>690</v>
      </c>
      <c r="B172" s="131" t="s">
        <v>54</v>
      </c>
      <c r="C172" s="3" t="s">
        <v>24</v>
      </c>
      <c r="G172" s="51" t="s">
        <v>53</v>
      </c>
      <c r="H172" s="1" t="str">
        <f t="shared" si="6"/>
        <v>Cow</v>
      </c>
      <c r="I172" s="1">
        <v>124</v>
      </c>
      <c r="J172" s="105">
        <v>45145</v>
      </c>
      <c r="K172" s="105"/>
      <c r="N172" s="10"/>
    </row>
    <row r="173" spans="1:37" s="19" customFormat="1" ht="12.95" customHeight="1">
      <c r="A173" s="17"/>
      <c r="B173" s="17"/>
      <c r="C173" s="108"/>
      <c r="D173" s="108"/>
      <c r="E173" s="108"/>
      <c r="F173" s="108"/>
      <c r="G173" s="109"/>
      <c r="H173" s="108"/>
      <c r="I173" s="108"/>
      <c r="J173" s="110"/>
      <c r="K173" s="116"/>
      <c r="L173" s="111"/>
      <c r="M173" s="17"/>
      <c r="N173" s="18"/>
      <c r="O173" s="108"/>
      <c r="P173" s="108"/>
      <c r="Q173" s="108"/>
      <c r="R173" s="108"/>
      <c r="S173" s="108"/>
      <c r="T173" s="108"/>
      <c r="U173" s="108"/>
      <c r="V173" s="108"/>
      <c r="W173" s="112"/>
      <c r="X173" s="17"/>
      <c r="Y173" s="17"/>
      <c r="Z173" s="108"/>
      <c r="AA173" s="108"/>
      <c r="AB173" s="108"/>
      <c r="AC173" s="2"/>
      <c r="AD173" s="2"/>
      <c r="AE173" s="2"/>
      <c r="AF173" s="2"/>
      <c r="AG173" s="2"/>
      <c r="AH173" s="2"/>
      <c r="AI173" s="2"/>
      <c r="AJ173" s="2"/>
      <c r="AK173" s="2"/>
    </row>
    <row r="174" spans="1:37">
      <c r="A174" s="15">
        <v>5105</v>
      </c>
      <c r="B174" s="10" t="s">
        <v>35</v>
      </c>
      <c r="C174" s="3" t="s">
        <v>24</v>
      </c>
      <c r="G174" s="117" t="s">
        <v>53</v>
      </c>
      <c r="J174" s="132" t="s">
        <v>122</v>
      </c>
      <c r="K174" s="105"/>
      <c r="L174" s="50" t="s">
        <v>26</v>
      </c>
      <c r="M174" s="15" t="s">
        <v>123</v>
      </c>
      <c r="N174" s="10" t="s">
        <v>35</v>
      </c>
      <c r="O174" s="3" t="s">
        <v>24</v>
      </c>
      <c r="S174" s="1" t="s">
        <v>25</v>
      </c>
      <c r="T174" s="1" t="s">
        <v>31</v>
      </c>
      <c r="U174" s="132">
        <v>45156</v>
      </c>
      <c r="W174" s="133" t="s">
        <v>122</v>
      </c>
      <c r="Y174" s="10"/>
    </row>
    <row r="175" spans="1:37">
      <c r="A175" s="15">
        <v>5126</v>
      </c>
      <c r="B175" s="10" t="s">
        <v>35</v>
      </c>
      <c r="C175" s="3" t="s">
        <v>24</v>
      </c>
      <c r="E175" s="3" t="s">
        <v>24</v>
      </c>
      <c r="G175" s="117" t="s">
        <v>53</v>
      </c>
      <c r="J175" s="115">
        <v>45146</v>
      </c>
      <c r="K175" s="105"/>
      <c r="L175" s="50" t="s">
        <v>26</v>
      </c>
      <c r="M175" s="15" t="s">
        <v>124</v>
      </c>
      <c r="N175" s="10" t="s">
        <v>35</v>
      </c>
      <c r="O175" s="3" t="s">
        <v>24</v>
      </c>
      <c r="S175" s="1" t="s">
        <v>25</v>
      </c>
      <c r="T175" s="1" t="s">
        <v>27</v>
      </c>
      <c r="U175" s="115">
        <v>45149</v>
      </c>
      <c r="W175" s="115">
        <v>45146</v>
      </c>
      <c r="X175" s="11" t="s">
        <v>125</v>
      </c>
      <c r="Y175" s="10" t="s">
        <v>35</v>
      </c>
      <c r="Z175" s="4" t="s">
        <v>29</v>
      </c>
    </row>
    <row r="176" spans="1:37">
      <c r="A176" s="15">
        <v>5533</v>
      </c>
      <c r="B176" s="10" t="s">
        <v>35</v>
      </c>
      <c r="C176" s="4" t="s">
        <v>29</v>
      </c>
      <c r="G176" s="117" t="s">
        <v>53</v>
      </c>
      <c r="J176" s="115">
        <v>45148</v>
      </c>
      <c r="K176" s="105"/>
      <c r="L176" s="50" t="s">
        <v>26</v>
      </c>
      <c r="M176" s="15" t="s">
        <v>126</v>
      </c>
      <c r="N176" s="10" t="s">
        <v>35</v>
      </c>
      <c r="O176" s="3" t="s">
        <v>24</v>
      </c>
      <c r="Q176" s="3" t="s">
        <v>24</v>
      </c>
      <c r="S176" s="1" t="s">
        <v>25</v>
      </c>
      <c r="T176" s="1" t="s">
        <v>27</v>
      </c>
      <c r="U176" s="106">
        <v>45148</v>
      </c>
      <c r="W176" s="115">
        <v>45148</v>
      </c>
      <c r="Y176" s="10"/>
    </row>
    <row r="177" spans="1:26">
      <c r="A177" s="15">
        <v>5733</v>
      </c>
      <c r="B177" s="10" t="s">
        <v>35</v>
      </c>
      <c r="C177" s="3" t="s">
        <v>24</v>
      </c>
      <c r="E177" s="4" t="s">
        <v>29</v>
      </c>
      <c r="G177" s="117" t="s">
        <v>53</v>
      </c>
      <c r="J177" s="115">
        <v>45148</v>
      </c>
      <c r="K177" s="105"/>
      <c r="L177" s="50" t="s">
        <v>26</v>
      </c>
      <c r="M177" s="15" t="s">
        <v>127</v>
      </c>
      <c r="N177" s="10" t="s">
        <v>35</v>
      </c>
      <c r="O177" s="3" t="s">
        <v>24</v>
      </c>
      <c r="Q177" s="3" t="s">
        <v>24</v>
      </c>
      <c r="S177" s="1" t="s">
        <v>25</v>
      </c>
      <c r="T177" s="1" t="s">
        <v>27</v>
      </c>
      <c r="U177" s="115">
        <v>45148</v>
      </c>
      <c r="W177" s="115">
        <v>45148</v>
      </c>
      <c r="Y177" s="10"/>
    </row>
    <row r="178" spans="1:26">
      <c r="A178" s="15">
        <v>5739</v>
      </c>
      <c r="B178" s="10" t="s">
        <v>35</v>
      </c>
      <c r="C178" s="3" t="s">
        <v>24</v>
      </c>
      <c r="G178" s="117" t="s">
        <v>53</v>
      </c>
      <c r="J178" s="115">
        <v>45148</v>
      </c>
      <c r="K178" s="105"/>
      <c r="L178" s="50" t="s">
        <v>26</v>
      </c>
      <c r="M178" s="15" t="s">
        <v>128</v>
      </c>
      <c r="N178" s="10" t="s">
        <v>35</v>
      </c>
      <c r="O178" s="3" t="s">
        <v>24</v>
      </c>
      <c r="S178" s="1" t="s">
        <v>25</v>
      </c>
      <c r="T178" s="1" t="s">
        <v>31</v>
      </c>
      <c r="U178" s="106">
        <v>45149</v>
      </c>
      <c r="W178" s="115">
        <v>45148</v>
      </c>
      <c r="Y178" s="10"/>
    </row>
    <row r="179" spans="1:26">
      <c r="A179" s="15">
        <v>5764</v>
      </c>
      <c r="B179" s="10" t="s">
        <v>35</v>
      </c>
      <c r="C179" s="4" t="s">
        <v>29</v>
      </c>
      <c r="G179" s="117" t="s">
        <v>53</v>
      </c>
      <c r="J179" s="115" t="s">
        <v>129</v>
      </c>
      <c r="K179" s="105"/>
      <c r="L179" s="50" t="s">
        <v>26</v>
      </c>
      <c r="M179" s="15" t="s">
        <v>130</v>
      </c>
      <c r="N179" s="10" t="s">
        <v>35</v>
      </c>
      <c r="O179" s="4" t="s">
        <v>29</v>
      </c>
      <c r="S179" s="1" t="s">
        <v>25</v>
      </c>
      <c r="T179" s="1" t="s">
        <v>31</v>
      </c>
      <c r="U179" s="106">
        <v>45153</v>
      </c>
      <c r="W179" s="23" t="s">
        <v>129</v>
      </c>
      <c r="Y179" s="10"/>
    </row>
    <row r="180" spans="1:26">
      <c r="A180" s="16">
        <v>5787</v>
      </c>
      <c r="B180" s="10" t="s">
        <v>35</v>
      </c>
      <c r="C180" s="4" t="s">
        <v>29</v>
      </c>
      <c r="G180" s="117" t="s">
        <v>53</v>
      </c>
      <c r="J180" s="115">
        <v>45150</v>
      </c>
      <c r="K180" s="105"/>
      <c r="L180" s="50" t="s">
        <v>26</v>
      </c>
      <c r="M180" s="15" t="s">
        <v>131</v>
      </c>
      <c r="N180" s="10" t="s">
        <v>35</v>
      </c>
      <c r="O180" s="3" t="s">
        <v>24</v>
      </c>
      <c r="S180" s="1" t="s">
        <v>25</v>
      </c>
      <c r="T180" s="1" t="s">
        <v>31</v>
      </c>
      <c r="U180" s="106">
        <v>45153</v>
      </c>
      <c r="W180" s="115">
        <v>45150</v>
      </c>
      <c r="Y180" s="10"/>
    </row>
    <row r="181" spans="1:26">
      <c r="A181" s="15">
        <v>5841</v>
      </c>
      <c r="B181" s="10" t="s">
        <v>35</v>
      </c>
      <c r="C181" s="3" t="s">
        <v>24</v>
      </c>
      <c r="G181" s="117" t="s">
        <v>53</v>
      </c>
      <c r="J181" s="115" t="s">
        <v>129</v>
      </c>
      <c r="K181" s="105"/>
      <c r="L181" s="50" t="s">
        <v>26</v>
      </c>
      <c r="M181" s="15" t="s">
        <v>132</v>
      </c>
      <c r="N181" s="10" t="s">
        <v>35</v>
      </c>
      <c r="O181" s="3" t="s">
        <v>24</v>
      </c>
      <c r="S181" s="1" t="s">
        <v>25</v>
      </c>
      <c r="T181" s="1" t="s">
        <v>31</v>
      </c>
      <c r="U181" s="106">
        <v>45153</v>
      </c>
      <c r="W181" s="23" t="s">
        <v>129</v>
      </c>
      <c r="Y181" s="10"/>
    </row>
    <row r="182" spans="1:26">
      <c r="A182" s="15">
        <v>5875</v>
      </c>
      <c r="B182" s="10" t="s">
        <v>35</v>
      </c>
      <c r="C182" s="3" t="s">
        <v>24</v>
      </c>
      <c r="G182" s="117" t="s">
        <v>53</v>
      </c>
      <c r="J182" s="115">
        <v>45150</v>
      </c>
      <c r="K182" s="105"/>
      <c r="L182" s="50" t="s">
        <v>26</v>
      </c>
      <c r="M182" s="15" t="s">
        <v>133</v>
      </c>
      <c r="N182" s="10" t="s">
        <v>35</v>
      </c>
      <c r="O182" s="3" t="s">
        <v>24</v>
      </c>
      <c r="S182" s="1" t="s">
        <v>25</v>
      </c>
      <c r="T182" s="1" t="s">
        <v>31</v>
      </c>
      <c r="U182" s="106">
        <v>45153</v>
      </c>
      <c r="W182" s="115">
        <v>45150</v>
      </c>
      <c r="Y182" s="10"/>
    </row>
    <row r="183" spans="1:26">
      <c r="A183" s="15">
        <v>5890</v>
      </c>
      <c r="B183" s="10" t="s">
        <v>35</v>
      </c>
      <c r="C183" s="4" t="s">
        <v>29</v>
      </c>
      <c r="G183" s="117" t="s">
        <v>53</v>
      </c>
      <c r="J183" s="115">
        <v>45143</v>
      </c>
      <c r="K183" s="105"/>
      <c r="L183" s="50" t="s">
        <v>26</v>
      </c>
      <c r="M183" s="15" t="s">
        <v>134</v>
      </c>
      <c r="N183" s="10" t="s">
        <v>35</v>
      </c>
      <c r="O183" s="4" t="s">
        <v>29</v>
      </c>
      <c r="S183" s="1" t="s">
        <v>25</v>
      </c>
      <c r="T183" s="1" t="s">
        <v>27</v>
      </c>
      <c r="U183" s="106">
        <v>45153</v>
      </c>
      <c r="W183" s="115">
        <v>45143</v>
      </c>
      <c r="Y183" s="10"/>
    </row>
    <row r="184" spans="1:26">
      <c r="A184" s="15">
        <v>5970</v>
      </c>
      <c r="B184" s="10" t="s">
        <v>35</v>
      </c>
      <c r="C184" s="3" t="s">
        <v>24</v>
      </c>
      <c r="E184" s="3" t="s">
        <v>24</v>
      </c>
      <c r="G184" s="117" t="s">
        <v>53</v>
      </c>
      <c r="J184" s="115">
        <v>45147</v>
      </c>
      <c r="K184" s="105"/>
      <c r="L184" s="50" t="s">
        <v>26</v>
      </c>
      <c r="M184" s="15" t="s">
        <v>135</v>
      </c>
      <c r="N184" s="10" t="s">
        <v>35</v>
      </c>
      <c r="O184" s="3" t="s">
        <v>24</v>
      </c>
      <c r="S184" s="1" t="s">
        <v>25</v>
      </c>
      <c r="T184" s="1" t="s">
        <v>31</v>
      </c>
      <c r="U184" s="106">
        <v>45150</v>
      </c>
      <c r="W184" s="115">
        <v>45147</v>
      </c>
      <c r="Y184" s="10"/>
    </row>
    <row r="185" spans="1:26">
      <c r="A185" s="15">
        <v>5972</v>
      </c>
      <c r="B185" s="10" t="s">
        <v>35</v>
      </c>
      <c r="C185" s="3" t="s">
        <v>24</v>
      </c>
      <c r="G185" s="117" t="s">
        <v>53</v>
      </c>
      <c r="J185" s="115" t="s">
        <v>129</v>
      </c>
      <c r="K185" s="105"/>
      <c r="L185" s="50" t="s">
        <v>26</v>
      </c>
      <c r="M185" s="15" t="s">
        <v>136</v>
      </c>
      <c r="N185" s="10" t="s">
        <v>35</v>
      </c>
      <c r="O185" s="4" t="s">
        <v>29</v>
      </c>
      <c r="S185" s="1" t="s">
        <v>25</v>
      </c>
      <c r="T185" s="1" t="s">
        <v>31</v>
      </c>
      <c r="U185" s="106">
        <v>45153</v>
      </c>
      <c r="W185" s="23" t="s">
        <v>129</v>
      </c>
      <c r="Y185" s="10"/>
    </row>
    <row r="186" spans="1:26">
      <c r="A186" s="15">
        <v>6013</v>
      </c>
      <c r="B186" s="10" t="s">
        <v>35</v>
      </c>
      <c r="C186" s="3" t="s">
        <v>24</v>
      </c>
      <c r="G186" s="117" t="s">
        <v>53</v>
      </c>
      <c r="J186" s="115" t="s">
        <v>137</v>
      </c>
      <c r="K186" s="105"/>
      <c r="L186" s="50" t="s">
        <v>26</v>
      </c>
      <c r="M186" s="15" t="s">
        <v>138</v>
      </c>
      <c r="N186" s="10" t="s">
        <v>35</v>
      </c>
      <c r="O186" s="3" t="s">
        <v>24</v>
      </c>
      <c r="S186" s="1" t="s">
        <v>25</v>
      </c>
      <c r="T186" s="1" t="s">
        <v>31</v>
      </c>
      <c r="U186" s="106">
        <v>45156</v>
      </c>
      <c r="W186" s="23" t="s">
        <v>137</v>
      </c>
      <c r="Y186" s="10"/>
    </row>
    <row r="187" spans="1:26">
      <c r="A187" s="20">
        <v>6026</v>
      </c>
      <c r="B187" s="13" t="s">
        <v>35</v>
      </c>
      <c r="C187" s="6" t="s">
        <v>46</v>
      </c>
      <c r="D187" s="118"/>
      <c r="E187" s="3" t="s">
        <v>24</v>
      </c>
      <c r="F187" s="119"/>
      <c r="G187" s="120" t="s">
        <v>53</v>
      </c>
      <c r="H187" s="23"/>
      <c r="I187" s="23"/>
      <c r="J187" s="115" t="s">
        <v>139</v>
      </c>
      <c r="K187" s="105"/>
      <c r="L187" s="121" t="s">
        <v>26</v>
      </c>
      <c r="M187" s="15" t="s">
        <v>140</v>
      </c>
      <c r="N187" s="10" t="s">
        <v>35</v>
      </c>
      <c r="O187" s="3" t="s">
        <v>24</v>
      </c>
      <c r="S187" s="1" t="s">
        <v>25</v>
      </c>
      <c r="T187" s="1" t="s">
        <v>27</v>
      </c>
      <c r="U187" s="106">
        <v>45156</v>
      </c>
      <c r="W187" s="23" t="s">
        <v>139</v>
      </c>
      <c r="X187" s="11" t="s">
        <v>141</v>
      </c>
      <c r="Y187" s="10" t="s">
        <v>35</v>
      </c>
      <c r="Z187" s="4" t="s">
        <v>29</v>
      </c>
    </row>
    <row r="188" spans="1:26">
      <c r="A188" s="15">
        <v>6036</v>
      </c>
      <c r="B188" s="10" t="s">
        <v>35</v>
      </c>
      <c r="C188" s="4" t="s">
        <v>29</v>
      </c>
      <c r="G188" s="117" t="s">
        <v>53</v>
      </c>
      <c r="J188" s="115">
        <v>45149</v>
      </c>
      <c r="K188" s="105"/>
      <c r="L188" s="50" t="s">
        <v>26</v>
      </c>
      <c r="M188" s="15" t="s">
        <v>142</v>
      </c>
      <c r="N188" s="10" t="s">
        <v>35</v>
      </c>
      <c r="O188" s="4" t="s">
        <v>29</v>
      </c>
      <c r="S188" s="1" t="s">
        <v>25</v>
      </c>
      <c r="T188" s="1" t="s">
        <v>31</v>
      </c>
      <c r="U188" s="106">
        <v>45153</v>
      </c>
      <c r="W188" s="115">
        <v>45149</v>
      </c>
      <c r="Y188" s="10"/>
    </row>
    <row r="189" spans="1:26">
      <c r="A189" s="15">
        <v>6081</v>
      </c>
      <c r="B189" s="10" t="s">
        <v>35</v>
      </c>
      <c r="C189" s="3" t="s">
        <v>24</v>
      </c>
      <c r="G189" s="117" t="s">
        <v>53</v>
      </c>
      <c r="J189" s="115" t="s">
        <v>129</v>
      </c>
      <c r="K189" s="105"/>
      <c r="L189" s="50" t="s">
        <v>26</v>
      </c>
      <c r="M189" s="15" t="s">
        <v>143</v>
      </c>
      <c r="N189" s="10" t="s">
        <v>35</v>
      </c>
      <c r="O189" s="3" t="s">
        <v>24</v>
      </c>
      <c r="S189" s="1" t="s">
        <v>25</v>
      </c>
      <c r="T189" s="1" t="s">
        <v>27</v>
      </c>
      <c r="U189" s="106">
        <v>45153</v>
      </c>
      <c r="W189" s="23" t="s">
        <v>129</v>
      </c>
      <c r="Y189" s="10"/>
    </row>
    <row r="190" spans="1:26">
      <c r="A190" s="15">
        <v>6082</v>
      </c>
      <c r="B190" s="10" t="s">
        <v>35</v>
      </c>
      <c r="C190" s="4" t="s">
        <v>29</v>
      </c>
      <c r="E190" s="4" t="s">
        <v>29</v>
      </c>
      <c r="G190" s="117" t="s">
        <v>53</v>
      </c>
      <c r="J190" s="115">
        <v>45148</v>
      </c>
      <c r="K190" s="105"/>
      <c r="L190" s="50" t="s">
        <v>26</v>
      </c>
      <c r="M190" s="15" t="s">
        <v>144</v>
      </c>
      <c r="N190" s="10" t="s">
        <v>35</v>
      </c>
      <c r="O190" s="3" t="s">
        <v>24</v>
      </c>
      <c r="Q190" s="3" t="s">
        <v>24</v>
      </c>
      <c r="S190" s="1" t="s">
        <v>25</v>
      </c>
      <c r="T190" s="1" t="s">
        <v>27</v>
      </c>
      <c r="U190" s="106">
        <v>45149</v>
      </c>
      <c r="W190" s="115">
        <v>45148</v>
      </c>
      <c r="X190" s="11" t="s">
        <v>145</v>
      </c>
      <c r="Y190" s="10" t="s">
        <v>35</v>
      </c>
      <c r="Z190" s="4" t="s">
        <v>29</v>
      </c>
    </row>
    <row r="191" spans="1:26">
      <c r="A191" s="15">
        <v>6160</v>
      </c>
      <c r="B191" s="10" t="s">
        <v>35</v>
      </c>
      <c r="C191" s="4" t="s">
        <v>29</v>
      </c>
      <c r="E191" s="3" t="s">
        <v>24</v>
      </c>
      <c r="G191" s="117" t="s">
        <v>53</v>
      </c>
      <c r="J191" s="115">
        <v>45145</v>
      </c>
      <c r="K191" s="105"/>
      <c r="L191" s="50" t="s">
        <v>26</v>
      </c>
      <c r="M191" s="15" t="s">
        <v>146</v>
      </c>
      <c r="N191" s="10" t="s">
        <v>35</v>
      </c>
      <c r="O191" s="4" t="s">
        <v>29</v>
      </c>
      <c r="S191" s="1" t="s">
        <v>25</v>
      </c>
      <c r="T191" s="1" t="s">
        <v>27</v>
      </c>
      <c r="U191" s="106">
        <v>45149</v>
      </c>
      <c r="W191" s="115">
        <v>45145</v>
      </c>
      <c r="Y191" s="10"/>
    </row>
    <row r="192" spans="1:26">
      <c r="A192" s="15">
        <v>6193</v>
      </c>
      <c r="B192" s="10" t="s">
        <v>35</v>
      </c>
      <c r="C192" s="4" t="s">
        <v>29</v>
      </c>
      <c r="E192" s="4" t="s">
        <v>29</v>
      </c>
      <c r="G192" s="117" t="s">
        <v>53</v>
      </c>
      <c r="J192" s="115">
        <v>45150</v>
      </c>
      <c r="K192" s="105"/>
      <c r="L192" s="50" t="s">
        <v>26</v>
      </c>
      <c r="M192" s="15" t="s">
        <v>147</v>
      </c>
      <c r="N192" s="10" t="s">
        <v>35</v>
      </c>
      <c r="S192" s="1" t="s">
        <v>25</v>
      </c>
      <c r="T192" s="1" t="s">
        <v>31</v>
      </c>
      <c r="U192" s="106">
        <v>45153</v>
      </c>
      <c r="W192" s="115">
        <v>45150</v>
      </c>
      <c r="X192" s="11" t="s">
        <v>125</v>
      </c>
      <c r="Y192" s="10" t="s">
        <v>35</v>
      </c>
      <c r="Z192" s="4" t="s">
        <v>29</v>
      </c>
    </row>
    <row r="193" spans="1:26">
      <c r="A193" s="15">
        <v>6223</v>
      </c>
      <c r="B193" s="10" t="s">
        <v>35</v>
      </c>
      <c r="C193" s="4" t="s">
        <v>29</v>
      </c>
      <c r="G193" s="117" t="s">
        <v>53</v>
      </c>
      <c r="J193" s="115">
        <v>45147</v>
      </c>
      <c r="K193" s="105"/>
      <c r="L193" s="50" t="s">
        <v>26</v>
      </c>
      <c r="M193" s="15" t="s">
        <v>148</v>
      </c>
      <c r="N193" s="10" t="s">
        <v>35</v>
      </c>
      <c r="O193" s="4" t="s">
        <v>29</v>
      </c>
      <c r="S193" s="1" t="s">
        <v>25</v>
      </c>
      <c r="T193" s="1" t="s">
        <v>27</v>
      </c>
      <c r="U193" s="106">
        <v>45149</v>
      </c>
      <c r="W193" s="115">
        <v>45147</v>
      </c>
      <c r="Y193" s="10"/>
    </row>
    <row r="194" spans="1:26">
      <c r="A194" s="15">
        <v>6277</v>
      </c>
      <c r="B194" s="10" t="s">
        <v>35</v>
      </c>
      <c r="C194" s="3" t="s">
        <v>24</v>
      </c>
      <c r="G194" s="117" t="s">
        <v>53</v>
      </c>
      <c r="J194" s="115"/>
      <c r="K194" s="105"/>
      <c r="L194" s="50" t="s">
        <v>26</v>
      </c>
      <c r="M194" s="15" t="s">
        <v>149</v>
      </c>
      <c r="N194" s="10" t="s">
        <v>35</v>
      </c>
      <c r="S194" s="1" t="s">
        <v>25</v>
      </c>
      <c r="T194" s="1" t="s">
        <v>31</v>
      </c>
      <c r="Y194" s="10"/>
    </row>
    <row r="195" spans="1:26">
      <c r="A195" s="15">
        <v>6289</v>
      </c>
      <c r="B195" s="10" t="s">
        <v>35</v>
      </c>
      <c r="C195" s="3" t="s">
        <v>24</v>
      </c>
      <c r="E195" s="3" t="s">
        <v>24</v>
      </c>
      <c r="G195" s="117" t="s">
        <v>53</v>
      </c>
      <c r="J195" s="115" t="s">
        <v>150</v>
      </c>
      <c r="K195" s="105"/>
      <c r="L195" s="50" t="s">
        <v>26</v>
      </c>
      <c r="M195" s="15" t="s">
        <v>151</v>
      </c>
      <c r="N195" s="10" t="s">
        <v>35</v>
      </c>
      <c r="O195" s="6" t="s">
        <v>46</v>
      </c>
      <c r="Q195" s="3" t="s">
        <v>24</v>
      </c>
      <c r="S195" s="1" t="s">
        <v>25</v>
      </c>
      <c r="T195" s="1" t="s">
        <v>27</v>
      </c>
      <c r="U195" s="106">
        <v>45153</v>
      </c>
      <c r="W195" s="23" t="s">
        <v>150</v>
      </c>
      <c r="Y195" s="10"/>
    </row>
    <row r="196" spans="1:26">
      <c r="A196" s="15">
        <v>6292</v>
      </c>
      <c r="B196" s="10" t="s">
        <v>35</v>
      </c>
      <c r="C196" s="3" t="s">
        <v>24</v>
      </c>
      <c r="E196" s="3" t="s">
        <v>24</v>
      </c>
      <c r="G196" s="117" t="s">
        <v>53</v>
      </c>
      <c r="J196" s="115" t="s">
        <v>137</v>
      </c>
      <c r="K196" s="105"/>
      <c r="L196" s="50" t="s">
        <v>26</v>
      </c>
      <c r="M196" s="15" t="s">
        <v>152</v>
      </c>
      <c r="N196" s="10" t="s">
        <v>35</v>
      </c>
      <c r="O196" s="3" t="s">
        <v>24</v>
      </c>
      <c r="S196" s="1" t="s">
        <v>25</v>
      </c>
      <c r="T196" s="1" t="s">
        <v>27</v>
      </c>
      <c r="U196" s="106">
        <v>45156</v>
      </c>
      <c r="W196" s="23" t="s">
        <v>137</v>
      </c>
      <c r="X196" s="11" t="s">
        <v>125</v>
      </c>
      <c r="Y196" s="10" t="s">
        <v>35</v>
      </c>
      <c r="Z196" s="4" t="s">
        <v>29</v>
      </c>
    </row>
    <row r="197" spans="1:26">
      <c r="A197" s="15">
        <v>6298</v>
      </c>
      <c r="B197" s="10" t="s">
        <v>35</v>
      </c>
      <c r="C197" s="3" t="s">
        <v>24</v>
      </c>
      <c r="E197" s="6" t="s">
        <v>46</v>
      </c>
      <c r="G197" s="117" t="s">
        <v>53</v>
      </c>
      <c r="J197" s="115">
        <v>45146</v>
      </c>
      <c r="K197" s="105"/>
      <c r="L197" s="50" t="s">
        <v>26</v>
      </c>
      <c r="M197" s="15" t="s">
        <v>153</v>
      </c>
      <c r="N197" s="10" t="s">
        <v>35</v>
      </c>
      <c r="O197" s="3" t="s">
        <v>24</v>
      </c>
      <c r="S197" s="1" t="s">
        <v>25</v>
      </c>
      <c r="T197" s="1" t="s">
        <v>27</v>
      </c>
      <c r="U197" s="106">
        <v>45149</v>
      </c>
      <c r="W197" s="115">
        <v>45146</v>
      </c>
      <c r="Y197" s="10"/>
    </row>
    <row r="198" spans="1:26">
      <c r="A198" s="15">
        <v>6311</v>
      </c>
      <c r="B198" s="10" t="s">
        <v>35</v>
      </c>
      <c r="C198" s="3" t="s">
        <v>24</v>
      </c>
      <c r="G198" s="117" t="s">
        <v>53</v>
      </c>
      <c r="J198" s="115" t="s">
        <v>137</v>
      </c>
      <c r="K198" s="105"/>
      <c r="L198" s="50" t="s">
        <v>26</v>
      </c>
      <c r="M198" s="15" t="s">
        <v>154</v>
      </c>
      <c r="N198" s="10" t="s">
        <v>35</v>
      </c>
      <c r="O198" s="3" t="s">
        <v>24</v>
      </c>
      <c r="S198" s="1" t="s">
        <v>25</v>
      </c>
      <c r="T198" s="1" t="s">
        <v>31</v>
      </c>
      <c r="U198" s="106">
        <v>45156</v>
      </c>
      <c r="W198" s="23" t="s">
        <v>137</v>
      </c>
      <c r="X198" s="11" t="s">
        <v>125</v>
      </c>
      <c r="Y198" s="10" t="s">
        <v>35</v>
      </c>
      <c r="Z198" s="4" t="s">
        <v>29</v>
      </c>
    </row>
    <row r="199" spans="1:26">
      <c r="A199" s="15">
        <v>6335</v>
      </c>
      <c r="B199" s="10" t="s">
        <v>35</v>
      </c>
      <c r="C199" s="3" t="s">
        <v>24</v>
      </c>
      <c r="E199" s="3" t="s">
        <v>24</v>
      </c>
      <c r="G199" s="117" t="s">
        <v>53</v>
      </c>
      <c r="J199" s="115" t="s">
        <v>139</v>
      </c>
      <c r="K199" s="105"/>
      <c r="L199" s="50" t="s">
        <v>26</v>
      </c>
      <c r="M199" s="15" t="s">
        <v>155</v>
      </c>
      <c r="N199" s="10" t="s">
        <v>35</v>
      </c>
      <c r="O199" s="3" t="s">
        <v>24</v>
      </c>
      <c r="S199" s="1" t="s">
        <v>25</v>
      </c>
      <c r="T199" s="1" t="s">
        <v>27</v>
      </c>
      <c r="U199" s="106">
        <v>45156</v>
      </c>
      <c r="W199" s="23" t="s">
        <v>139</v>
      </c>
      <c r="X199" s="11" t="s">
        <v>141</v>
      </c>
      <c r="Y199" s="10" t="s">
        <v>35</v>
      </c>
      <c r="Z199" s="4" t="s">
        <v>29</v>
      </c>
    </row>
    <row r="200" spans="1:26">
      <c r="A200" s="15">
        <v>6337</v>
      </c>
      <c r="B200" s="10" t="s">
        <v>35</v>
      </c>
      <c r="C200" s="3" t="s">
        <v>24</v>
      </c>
      <c r="G200" s="117" t="s">
        <v>53</v>
      </c>
      <c r="J200" s="115" t="s">
        <v>156</v>
      </c>
      <c r="K200" s="105"/>
      <c r="L200" s="50" t="s">
        <v>26</v>
      </c>
      <c r="M200" s="15" t="s">
        <v>157</v>
      </c>
      <c r="N200" s="10" t="s">
        <v>35</v>
      </c>
      <c r="O200" s="4" t="s">
        <v>29</v>
      </c>
      <c r="S200" s="1" t="s">
        <v>25</v>
      </c>
      <c r="T200" s="1" t="s">
        <v>31</v>
      </c>
      <c r="U200" s="106">
        <v>45160</v>
      </c>
      <c r="W200" s="23" t="s">
        <v>156</v>
      </c>
      <c r="Y200" s="10"/>
    </row>
    <row r="201" spans="1:26">
      <c r="A201" s="15">
        <v>6340</v>
      </c>
      <c r="B201" s="10" t="s">
        <v>35</v>
      </c>
      <c r="C201" s="3" t="s">
        <v>24</v>
      </c>
      <c r="G201" s="117" t="s">
        <v>53</v>
      </c>
      <c r="J201" s="115" t="s">
        <v>158</v>
      </c>
      <c r="K201" s="105"/>
      <c r="L201" s="50" t="s">
        <v>26</v>
      </c>
      <c r="M201" s="15" t="s">
        <v>159</v>
      </c>
      <c r="N201" s="10" t="s">
        <v>35</v>
      </c>
      <c r="O201" s="3" t="s">
        <v>24</v>
      </c>
      <c r="S201" s="1" t="s">
        <v>25</v>
      </c>
      <c r="T201" s="1" t="s">
        <v>27</v>
      </c>
      <c r="U201" s="106">
        <v>45156</v>
      </c>
      <c r="W201" s="23" t="s">
        <v>158</v>
      </c>
      <c r="X201" s="11" t="s">
        <v>141</v>
      </c>
      <c r="Y201" s="10" t="s">
        <v>35</v>
      </c>
      <c r="Z201" s="4" t="s">
        <v>29</v>
      </c>
    </row>
    <row r="202" spans="1:26">
      <c r="A202" s="15">
        <v>6351</v>
      </c>
      <c r="B202" s="10" t="s">
        <v>35</v>
      </c>
      <c r="C202" s="3" t="s">
        <v>24</v>
      </c>
      <c r="G202" s="117" t="s">
        <v>53</v>
      </c>
      <c r="J202" s="132" t="s">
        <v>122</v>
      </c>
      <c r="K202" s="105"/>
      <c r="L202" s="50" t="s">
        <v>26</v>
      </c>
      <c r="M202" s="15" t="s">
        <v>160</v>
      </c>
      <c r="N202" s="10" t="s">
        <v>35</v>
      </c>
      <c r="O202" s="3" t="s">
        <v>24</v>
      </c>
      <c r="Q202" s="3" t="s">
        <v>24</v>
      </c>
      <c r="S202" s="1" t="s">
        <v>25</v>
      </c>
      <c r="T202" s="1" t="s">
        <v>27</v>
      </c>
      <c r="U202" s="106">
        <v>45156</v>
      </c>
      <c r="W202" s="133" t="s">
        <v>122</v>
      </c>
      <c r="X202" s="11" t="s">
        <v>161</v>
      </c>
      <c r="Y202" s="10" t="s">
        <v>35</v>
      </c>
      <c r="Z202" s="4" t="s">
        <v>29</v>
      </c>
    </row>
    <row r="203" spans="1:26">
      <c r="A203" s="15">
        <v>6378</v>
      </c>
      <c r="B203" s="10" t="s">
        <v>35</v>
      </c>
      <c r="C203" s="3" t="s">
        <v>24</v>
      </c>
      <c r="E203" s="3" t="s">
        <v>24</v>
      </c>
      <c r="G203" s="117" t="s">
        <v>53</v>
      </c>
      <c r="J203" s="115" t="s">
        <v>129</v>
      </c>
      <c r="K203" s="105"/>
      <c r="L203" s="50" t="s">
        <v>26</v>
      </c>
      <c r="M203" s="15" t="s">
        <v>162</v>
      </c>
      <c r="N203" s="10" t="s">
        <v>35</v>
      </c>
      <c r="O203" s="3" t="s">
        <v>24</v>
      </c>
      <c r="S203" s="1" t="s">
        <v>25</v>
      </c>
      <c r="T203" s="1" t="s">
        <v>31</v>
      </c>
      <c r="U203" s="106">
        <v>45153</v>
      </c>
      <c r="W203" s="23" t="s">
        <v>129</v>
      </c>
      <c r="Y203" s="10"/>
    </row>
    <row r="204" spans="1:26">
      <c r="A204" s="15">
        <v>6385</v>
      </c>
      <c r="B204" s="10" t="s">
        <v>35</v>
      </c>
      <c r="C204" s="4" t="s">
        <v>29</v>
      </c>
      <c r="G204" s="117" t="s">
        <v>53</v>
      </c>
      <c r="J204" s="132" t="s">
        <v>122</v>
      </c>
      <c r="K204" s="105"/>
      <c r="L204" s="50" t="s">
        <v>26</v>
      </c>
      <c r="M204" s="15" t="s">
        <v>163</v>
      </c>
      <c r="N204" s="10" t="s">
        <v>35</v>
      </c>
      <c r="O204" s="3" t="s">
        <v>24</v>
      </c>
      <c r="S204" s="1" t="s">
        <v>25</v>
      </c>
      <c r="T204" s="1" t="s">
        <v>31</v>
      </c>
      <c r="U204" s="106">
        <v>45156</v>
      </c>
      <c r="W204" s="133" t="s">
        <v>122</v>
      </c>
      <c r="Y204" s="10"/>
    </row>
    <row r="205" spans="1:26">
      <c r="A205" s="15">
        <v>6386</v>
      </c>
      <c r="B205" s="10" t="s">
        <v>35</v>
      </c>
      <c r="C205" s="4" t="s">
        <v>29</v>
      </c>
      <c r="E205" s="3" t="s">
        <v>24</v>
      </c>
      <c r="G205" s="117" t="s">
        <v>53</v>
      </c>
      <c r="J205" s="115" t="s">
        <v>139</v>
      </c>
      <c r="K205" s="105"/>
      <c r="L205" s="50" t="s">
        <v>26</v>
      </c>
      <c r="M205" s="15" t="s">
        <v>164</v>
      </c>
      <c r="N205" s="10" t="s">
        <v>35</v>
      </c>
      <c r="O205" s="3" t="s">
        <v>24</v>
      </c>
      <c r="S205" s="1" t="s">
        <v>25</v>
      </c>
      <c r="T205" s="1" t="s">
        <v>31</v>
      </c>
      <c r="U205" s="106">
        <v>45156</v>
      </c>
      <c r="W205" s="23" t="s">
        <v>139</v>
      </c>
      <c r="Y205" s="10"/>
    </row>
    <row r="206" spans="1:26">
      <c r="A206" s="15">
        <v>6396</v>
      </c>
      <c r="B206" s="10" t="s">
        <v>35</v>
      </c>
      <c r="C206" s="3" t="s">
        <v>24</v>
      </c>
      <c r="E206" s="3" t="s">
        <v>24</v>
      </c>
      <c r="G206" s="117" t="s">
        <v>53</v>
      </c>
      <c r="J206" s="115">
        <v>45146</v>
      </c>
      <c r="K206" s="105"/>
      <c r="L206" s="50" t="s">
        <v>26</v>
      </c>
      <c r="M206" s="15" t="s">
        <v>165</v>
      </c>
      <c r="N206" s="10" t="s">
        <v>35</v>
      </c>
      <c r="O206" s="3" t="s">
        <v>24</v>
      </c>
      <c r="S206" s="1" t="s">
        <v>25</v>
      </c>
      <c r="T206" s="1" t="s">
        <v>27</v>
      </c>
      <c r="U206" s="106">
        <v>45149</v>
      </c>
      <c r="W206" s="115">
        <v>45146</v>
      </c>
      <c r="Y206" s="10"/>
    </row>
    <row r="207" spans="1:26">
      <c r="A207" s="15">
        <v>6406</v>
      </c>
      <c r="B207" s="10" t="s">
        <v>35</v>
      </c>
      <c r="C207" s="3" t="s">
        <v>24</v>
      </c>
      <c r="E207" s="3" t="s">
        <v>24</v>
      </c>
      <c r="G207" s="117" t="s">
        <v>53</v>
      </c>
      <c r="J207" s="115" t="s">
        <v>129</v>
      </c>
      <c r="K207" s="105"/>
      <c r="L207" s="50" t="s">
        <v>26</v>
      </c>
      <c r="M207" s="15" t="s">
        <v>166</v>
      </c>
      <c r="N207" s="10" t="s">
        <v>35</v>
      </c>
      <c r="O207" s="3" t="s">
        <v>24</v>
      </c>
      <c r="S207" s="1" t="s">
        <v>25</v>
      </c>
      <c r="T207" s="1" t="s">
        <v>31</v>
      </c>
      <c r="U207" s="106">
        <v>45163</v>
      </c>
      <c r="W207" s="23" t="s">
        <v>129</v>
      </c>
      <c r="Y207" s="10"/>
    </row>
    <row r="208" spans="1:26">
      <c r="A208" s="15">
        <v>6415</v>
      </c>
      <c r="B208" s="10" t="s">
        <v>35</v>
      </c>
      <c r="C208" s="3" t="s">
        <v>24</v>
      </c>
      <c r="E208" s="4" t="s">
        <v>29</v>
      </c>
      <c r="G208" s="117" t="s">
        <v>53</v>
      </c>
      <c r="J208" s="115">
        <v>45143</v>
      </c>
      <c r="K208" s="105"/>
      <c r="L208" s="50" t="s">
        <v>26</v>
      </c>
      <c r="M208" s="15" t="s">
        <v>167</v>
      </c>
      <c r="N208" s="10" t="s">
        <v>35</v>
      </c>
      <c r="O208" s="3" t="s">
        <v>24</v>
      </c>
      <c r="S208" s="1" t="s">
        <v>25</v>
      </c>
      <c r="T208" s="1" t="s">
        <v>27</v>
      </c>
      <c r="U208" s="106">
        <v>45145</v>
      </c>
      <c r="W208" s="115">
        <v>45143</v>
      </c>
      <c r="Y208" s="10"/>
    </row>
    <row r="209" spans="1:26">
      <c r="A209" s="15">
        <v>6421</v>
      </c>
      <c r="B209" s="10" t="s">
        <v>35</v>
      </c>
      <c r="C209" s="3" t="s">
        <v>24</v>
      </c>
      <c r="E209" s="3" t="s">
        <v>24</v>
      </c>
      <c r="G209" s="117" t="s">
        <v>53</v>
      </c>
      <c r="J209" s="115">
        <v>45146</v>
      </c>
      <c r="K209" s="105"/>
      <c r="L209" s="50" t="s">
        <v>26</v>
      </c>
      <c r="M209" s="15" t="s">
        <v>168</v>
      </c>
      <c r="N209" s="10" t="s">
        <v>35</v>
      </c>
      <c r="S209" s="1" t="s">
        <v>25</v>
      </c>
      <c r="T209" s="1" t="s">
        <v>27</v>
      </c>
      <c r="U209" s="106">
        <v>45149</v>
      </c>
      <c r="W209" s="115">
        <v>45146</v>
      </c>
      <c r="X209" s="11" t="s">
        <v>169</v>
      </c>
      <c r="Y209" s="10" t="s">
        <v>35</v>
      </c>
      <c r="Z209" s="4" t="s">
        <v>29</v>
      </c>
    </row>
    <row r="210" spans="1:26">
      <c r="A210" s="15">
        <v>6433</v>
      </c>
      <c r="B210" s="10" t="s">
        <v>35</v>
      </c>
      <c r="C210" s="6" t="s">
        <v>46</v>
      </c>
      <c r="G210" s="117" t="s">
        <v>53</v>
      </c>
      <c r="J210" s="115" t="s">
        <v>150</v>
      </c>
      <c r="K210" s="105"/>
      <c r="L210" s="50" t="s">
        <v>26</v>
      </c>
      <c r="M210" s="15" t="s">
        <v>170</v>
      </c>
      <c r="N210" s="10" t="s">
        <v>35</v>
      </c>
      <c r="O210" s="3" t="s">
        <v>24</v>
      </c>
      <c r="S210" s="1" t="s">
        <v>25</v>
      </c>
      <c r="T210" s="1" t="s">
        <v>31</v>
      </c>
      <c r="U210" s="106">
        <v>45156</v>
      </c>
      <c r="W210" s="23" t="s">
        <v>150</v>
      </c>
      <c r="Y210" s="10"/>
    </row>
    <row r="211" spans="1:26">
      <c r="A211" s="15">
        <v>6435</v>
      </c>
      <c r="B211" s="10" t="s">
        <v>35</v>
      </c>
      <c r="C211" s="3" t="s">
        <v>24</v>
      </c>
      <c r="G211" s="117" t="s">
        <v>53</v>
      </c>
      <c r="J211" s="115" t="s">
        <v>137</v>
      </c>
      <c r="K211" s="105"/>
      <c r="L211" s="50" t="s">
        <v>26</v>
      </c>
      <c r="M211" s="15" t="s">
        <v>171</v>
      </c>
      <c r="N211" s="10" t="s">
        <v>35</v>
      </c>
      <c r="O211" s="3" t="s">
        <v>24</v>
      </c>
      <c r="S211" s="1" t="s">
        <v>25</v>
      </c>
      <c r="T211" s="1" t="s">
        <v>31</v>
      </c>
      <c r="U211" s="106">
        <v>45156</v>
      </c>
      <c r="W211" s="23" t="s">
        <v>137</v>
      </c>
      <c r="Y211" s="10"/>
    </row>
    <row r="212" spans="1:26">
      <c r="A212" s="15">
        <v>6442</v>
      </c>
      <c r="B212" s="10" t="s">
        <v>35</v>
      </c>
      <c r="C212" s="3" t="s">
        <v>24</v>
      </c>
      <c r="E212" s="3" t="s">
        <v>24</v>
      </c>
      <c r="G212" s="117" t="s">
        <v>53</v>
      </c>
      <c r="J212" s="115">
        <v>45150</v>
      </c>
      <c r="K212" s="105"/>
      <c r="L212" s="50" t="s">
        <v>26</v>
      </c>
      <c r="M212" s="15" t="s">
        <v>172</v>
      </c>
      <c r="N212" s="10" t="s">
        <v>35</v>
      </c>
      <c r="O212" s="4" t="s">
        <v>29</v>
      </c>
      <c r="S212" s="1" t="s">
        <v>25</v>
      </c>
      <c r="T212" s="1" t="s">
        <v>31</v>
      </c>
      <c r="U212" s="106">
        <v>45153</v>
      </c>
      <c r="W212" s="115">
        <v>45150</v>
      </c>
      <c r="Y212" s="10"/>
    </row>
    <row r="213" spans="1:26">
      <c r="A213" s="15">
        <v>6475</v>
      </c>
      <c r="B213" s="10" t="s">
        <v>35</v>
      </c>
      <c r="C213" s="3" t="s">
        <v>24</v>
      </c>
      <c r="E213" s="3" t="s">
        <v>24</v>
      </c>
      <c r="G213" s="117" t="s">
        <v>53</v>
      </c>
      <c r="J213" s="115">
        <v>45147</v>
      </c>
      <c r="K213" s="105"/>
      <c r="L213" s="50" t="s">
        <v>26</v>
      </c>
      <c r="M213" s="15" t="s">
        <v>173</v>
      </c>
      <c r="N213" s="10" t="s">
        <v>35</v>
      </c>
      <c r="O213" s="4" t="s">
        <v>29</v>
      </c>
      <c r="S213" s="1" t="s">
        <v>25</v>
      </c>
      <c r="T213" s="1" t="s">
        <v>31</v>
      </c>
      <c r="U213" s="106">
        <v>45149</v>
      </c>
      <c r="W213" s="115">
        <v>45147</v>
      </c>
      <c r="Y213" s="10"/>
    </row>
    <row r="214" spans="1:26">
      <c r="A214" s="15">
        <v>6480</v>
      </c>
      <c r="B214" s="10" t="s">
        <v>35</v>
      </c>
      <c r="C214" s="4" t="s">
        <v>29</v>
      </c>
      <c r="E214" s="4" t="s">
        <v>29</v>
      </c>
      <c r="G214" s="117" t="s">
        <v>53</v>
      </c>
      <c r="J214" s="115">
        <v>45146</v>
      </c>
      <c r="K214" s="105"/>
      <c r="L214" s="50" t="s">
        <v>26</v>
      </c>
      <c r="M214" s="15" t="s">
        <v>174</v>
      </c>
      <c r="N214" s="10" t="s">
        <v>35</v>
      </c>
      <c r="O214" s="4" t="s">
        <v>29</v>
      </c>
      <c r="S214" s="1" t="s">
        <v>25</v>
      </c>
      <c r="T214" s="1" t="s">
        <v>27</v>
      </c>
      <c r="U214" s="106">
        <v>45149</v>
      </c>
      <c r="W214" s="115">
        <v>45146</v>
      </c>
      <c r="Y214" s="10"/>
    </row>
    <row r="215" spans="1:26">
      <c r="A215" s="15">
        <v>6488</v>
      </c>
      <c r="B215" s="10" t="s">
        <v>35</v>
      </c>
      <c r="C215" s="3" t="s">
        <v>24</v>
      </c>
      <c r="E215" s="6" t="s">
        <v>46</v>
      </c>
      <c r="G215" s="117" t="s">
        <v>53</v>
      </c>
      <c r="J215" s="115">
        <v>45142</v>
      </c>
      <c r="K215" s="105"/>
      <c r="L215" s="50" t="s">
        <v>26</v>
      </c>
      <c r="M215" s="15" t="s">
        <v>175</v>
      </c>
      <c r="N215" s="10" t="s">
        <v>35</v>
      </c>
      <c r="O215" s="3" t="s">
        <v>24</v>
      </c>
      <c r="S215" s="1" t="s">
        <v>25</v>
      </c>
      <c r="T215" s="1" t="s">
        <v>31</v>
      </c>
      <c r="U215" s="106">
        <v>45149</v>
      </c>
      <c r="W215" s="115">
        <v>45142</v>
      </c>
      <c r="Y215" s="10"/>
    </row>
    <row r="216" spans="1:26">
      <c r="A216" s="15">
        <v>6495</v>
      </c>
      <c r="B216" s="10" t="s">
        <v>35</v>
      </c>
      <c r="C216" s="3" t="s">
        <v>24</v>
      </c>
      <c r="G216" s="117" t="s">
        <v>53</v>
      </c>
      <c r="J216" s="115">
        <v>45147</v>
      </c>
      <c r="K216" s="105"/>
      <c r="L216" s="50" t="s">
        <v>26</v>
      </c>
      <c r="M216" s="15" t="s">
        <v>176</v>
      </c>
      <c r="N216" s="10" t="s">
        <v>35</v>
      </c>
      <c r="O216" s="3" t="s">
        <v>24</v>
      </c>
      <c r="S216" s="1" t="s">
        <v>25</v>
      </c>
      <c r="T216" s="1" t="s">
        <v>27</v>
      </c>
      <c r="U216" s="106">
        <v>45149</v>
      </c>
      <c r="W216" s="115">
        <v>45147</v>
      </c>
      <c r="Y216" s="10"/>
    </row>
    <row r="217" spans="1:26">
      <c r="A217" s="15">
        <v>6521</v>
      </c>
      <c r="B217" s="10" t="s">
        <v>35</v>
      </c>
      <c r="C217" s="3" t="s">
        <v>24</v>
      </c>
      <c r="G217" s="117" t="s">
        <v>53</v>
      </c>
      <c r="J217" s="115">
        <v>45147</v>
      </c>
      <c r="K217" s="105"/>
      <c r="L217" s="50" t="s">
        <v>26</v>
      </c>
      <c r="M217" s="15">
        <v>7325</v>
      </c>
      <c r="N217" s="10" t="s">
        <v>35</v>
      </c>
      <c r="O217" s="3" t="s">
        <v>24</v>
      </c>
      <c r="Q217" s="3" t="s">
        <v>24</v>
      </c>
      <c r="S217" s="1" t="s">
        <v>25</v>
      </c>
      <c r="U217" s="106">
        <v>45153</v>
      </c>
      <c r="W217" s="115">
        <v>45147</v>
      </c>
      <c r="Y217" s="10"/>
    </row>
    <row r="218" spans="1:26">
      <c r="A218" s="15">
        <v>6528</v>
      </c>
      <c r="B218" s="10" t="s">
        <v>35</v>
      </c>
      <c r="C218" s="4" t="s">
        <v>29</v>
      </c>
      <c r="G218" s="117" t="s">
        <v>53</v>
      </c>
      <c r="J218" s="115" t="s">
        <v>129</v>
      </c>
      <c r="K218" s="105"/>
      <c r="L218" s="50" t="s">
        <v>26</v>
      </c>
      <c r="M218" s="15" t="s">
        <v>177</v>
      </c>
      <c r="N218" s="10" t="s">
        <v>35</v>
      </c>
      <c r="O218" s="3" t="s">
        <v>24</v>
      </c>
      <c r="S218" s="1" t="s">
        <v>25</v>
      </c>
      <c r="T218" s="1" t="s">
        <v>31</v>
      </c>
      <c r="U218" s="106">
        <v>45153</v>
      </c>
      <c r="W218" s="23" t="s">
        <v>129</v>
      </c>
      <c r="Y218" s="10"/>
    </row>
    <row r="219" spans="1:26">
      <c r="A219" s="15">
        <v>6529</v>
      </c>
      <c r="B219" s="10" t="s">
        <v>35</v>
      </c>
      <c r="C219" s="3" t="s">
        <v>24</v>
      </c>
      <c r="E219" s="3" t="s">
        <v>24</v>
      </c>
      <c r="G219" s="117" t="s">
        <v>53</v>
      </c>
      <c r="J219" s="115"/>
      <c r="K219" s="105"/>
      <c r="L219" s="50" t="s">
        <v>26</v>
      </c>
      <c r="M219" s="15" t="s">
        <v>178</v>
      </c>
      <c r="N219" s="10" t="s">
        <v>35</v>
      </c>
      <c r="O219" s="3" t="s">
        <v>24</v>
      </c>
      <c r="Q219" s="3" t="s">
        <v>24</v>
      </c>
      <c r="S219" s="1" t="s">
        <v>25</v>
      </c>
      <c r="T219" s="1" t="s">
        <v>27</v>
      </c>
      <c r="U219" s="106">
        <v>45150</v>
      </c>
      <c r="Y219" s="10"/>
    </row>
    <row r="220" spans="1:26">
      <c r="A220" s="15">
        <v>6534</v>
      </c>
      <c r="B220" s="10" t="s">
        <v>35</v>
      </c>
      <c r="C220" s="3" t="s">
        <v>24</v>
      </c>
      <c r="G220" s="117" t="s">
        <v>53</v>
      </c>
      <c r="J220" s="115">
        <v>45146</v>
      </c>
      <c r="K220" s="105"/>
      <c r="L220" s="50" t="s">
        <v>26</v>
      </c>
      <c r="M220" s="15" t="s">
        <v>179</v>
      </c>
      <c r="N220" s="10" t="s">
        <v>35</v>
      </c>
      <c r="O220" s="3" t="s">
        <v>24</v>
      </c>
      <c r="S220" s="1" t="s">
        <v>25</v>
      </c>
      <c r="T220" s="1" t="s">
        <v>31</v>
      </c>
      <c r="U220" s="106">
        <v>45149</v>
      </c>
      <c r="W220" s="115">
        <v>45146</v>
      </c>
      <c r="Y220" s="10"/>
    </row>
    <row r="221" spans="1:26">
      <c r="A221" s="15">
        <v>6551</v>
      </c>
      <c r="B221" s="10" t="s">
        <v>35</v>
      </c>
      <c r="C221" s="3" t="s">
        <v>24</v>
      </c>
      <c r="E221" s="6" t="s">
        <v>46</v>
      </c>
      <c r="G221" s="117" t="s">
        <v>53</v>
      </c>
      <c r="J221" s="115">
        <v>45146</v>
      </c>
      <c r="K221" s="105"/>
      <c r="L221" s="50" t="s">
        <v>26</v>
      </c>
      <c r="M221" s="15" t="s">
        <v>180</v>
      </c>
      <c r="N221" s="10" t="s">
        <v>35</v>
      </c>
      <c r="O221" s="3" t="s">
        <v>24</v>
      </c>
      <c r="S221" s="1" t="s">
        <v>25</v>
      </c>
      <c r="T221" s="1" t="s">
        <v>27</v>
      </c>
      <c r="U221" s="106">
        <v>45149</v>
      </c>
      <c r="W221" s="115">
        <v>45146</v>
      </c>
      <c r="Y221" s="10"/>
    </row>
    <row r="222" spans="1:26">
      <c r="A222" s="15">
        <v>6556</v>
      </c>
      <c r="B222" s="10" t="s">
        <v>35</v>
      </c>
      <c r="C222" s="3" t="s">
        <v>24</v>
      </c>
      <c r="E222" s="3" t="s">
        <v>24</v>
      </c>
      <c r="G222" s="117" t="s">
        <v>53</v>
      </c>
      <c r="J222" s="115">
        <v>45148</v>
      </c>
      <c r="K222" s="105"/>
      <c r="L222" s="50" t="s">
        <v>26</v>
      </c>
      <c r="M222" s="15" t="s">
        <v>181</v>
      </c>
      <c r="N222" s="10" t="s">
        <v>35</v>
      </c>
      <c r="O222" s="3" t="s">
        <v>24</v>
      </c>
      <c r="S222" s="1" t="s">
        <v>25</v>
      </c>
      <c r="T222" s="1" t="s">
        <v>31</v>
      </c>
      <c r="U222" s="106">
        <v>45149</v>
      </c>
      <c r="W222" s="115">
        <v>45148</v>
      </c>
      <c r="Y222" s="10"/>
    </row>
    <row r="223" spans="1:26">
      <c r="A223" s="15">
        <v>6565</v>
      </c>
      <c r="B223" s="10" t="s">
        <v>35</v>
      </c>
      <c r="C223" s="3" t="s">
        <v>24</v>
      </c>
      <c r="E223" s="3" t="s">
        <v>24</v>
      </c>
      <c r="G223" s="117" t="s">
        <v>53</v>
      </c>
      <c r="J223" s="115">
        <v>45149</v>
      </c>
      <c r="K223" s="105"/>
      <c r="L223" s="50" t="s">
        <v>26</v>
      </c>
      <c r="M223" s="15" t="s">
        <v>182</v>
      </c>
      <c r="N223" s="10" t="s">
        <v>35</v>
      </c>
      <c r="O223" s="3" t="s">
        <v>24</v>
      </c>
      <c r="Q223" s="3" t="s">
        <v>24</v>
      </c>
      <c r="S223" s="1" t="s">
        <v>25</v>
      </c>
      <c r="T223" s="1" t="s">
        <v>27</v>
      </c>
      <c r="U223" s="106">
        <v>45153</v>
      </c>
      <c r="W223" s="115">
        <v>45149</v>
      </c>
      <c r="Y223" s="10"/>
    </row>
    <row r="224" spans="1:26">
      <c r="A224" s="15">
        <v>6579</v>
      </c>
      <c r="B224" s="10" t="s">
        <v>35</v>
      </c>
      <c r="C224" s="3" t="s">
        <v>24</v>
      </c>
      <c r="E224" s="4" t="s">
        <v>29</v>
      </c>
      <c r="G224" s="117" t="s">
        <v>53</v>
      </c>
      <c r="J224" s="115">
        <v>45144</v>
      </c>
      <c r="K224" s="105"/>
      <c r="L224" s="50" t="s">
        <v>26</v>
      </c>
      <c r="M224" s="15" t="s">
        <v>183</v>
      </c>
      <c r="N224" s="10" t="s">
        <v>35</v>
      </c>
      <c r="O224" s="3" t="s">
        <v>24</v>
      </c>
      <c r="Q224" s="3" t="s">
        <v>24</v>
      </c>
      <c r="S224" s="1" t="s">
        <v>25</v>
      </c>
      <c r="T224" s="1" t="s">
        <v>27</v>
      </c>
      <c r="U224" s="106">
        <v>45145</v>
      </c>
      <c r="W224" s="115">
        <v>45144</v>
      </c>
      <c r="Y224" s="10"/>
    </row>
    <row r="225" spans="1:26">
      <c r="A225" s="15">
        <v>6584</v>
      </c>
      <c r="B225" s="10" t="s">
        <v>35</v>
      </c>
      <c r="C225" s="3" t="s">
        <v>24</v>
      </c>
      <c r="G225" s="117" t="s">
        <v>53</v>
      </c>
      <c r="J225" s="115">
        <v>45146</v>
      </c>
      <c r="K225" s="105"/>
      <c r="L225" s="50" t="s">
        <v>26</v>
      </c>
      <c r="M225" s="15" t="s">
        <v>184</v>
      </c>
      <c r="N225" s="10" t="s">
        <v>35</v>
      </c>
      <c r="O225" s="3" t="s">
        <v>24</v>
      </c>
      <c r="S225" s="1" t="s">
        <v>25</v>
      </c>
      <c r="T225" s="1" t="s">
        <v>27</v>
      </c>
      <c r="U225" s="106">
        <v>45149</v>
      </c>
      <c r="W225" s="115">
        <v>45146</v>
      </c>
      <c r="X225" s="11" t="s">
        <v>185</v>
      </c>
      <c r="Y225" s="10" t="s">
        <v>35</v>
      </c>
      <c r="Z225" s="4" t="s">
        <v>29</v>
      </c>
    </row>
    <row r="226" spans="1:26">
      <c r="A226" s="15">
        <v>6592</v>
      </c>
      <c r="B226" s="10" t="s">
        <v>35</v>
      </c>
      <c r="C226" s="3" t="s">
        <v>24</v>
      </c>
      <c r="G226" s="117" t="s">
        <v>53</v>
      </c>
      <c r="J226" s="115">
        <v>45148</v>
      </c>
      <c r="K226" s="105"/>
      <c r="L226" s="50" t="s">
        <v>26</v>
      </c>
      <c r="M226" s="15" t="s">
        <v>186</v>
      </c>
      <c r="N226" s="10" t="s">
        <v>35</v>
      </c>
      <c r="O226" s="4" t="s">
        <v>29</v>
      </c>
      <c r="Q226" s="3" t="s">
        <v>24</v>
      </c>
      <c r="S226" s="1" t="s">
        <v>25</v>
      </c>
      <c r="T226" s="1" t="s">
        <v>27</v>
      </c>
      <c r="U226" s="106">
        <v>45149</v>
      </c>
      <c r="W226" s="115">
        <v>45148</v>
      </c>
      <c r="Y226" s="10"/>
    </row>
    <row r="227" spans="1:26">
      <c r="A227" s="15">
        <v>6597</v>
      </c>
      <c r="B227" s="10" t="s">
        <v>35</v>
      </c>
      <c r="C227" s="3" t="s">
        <v>24</v>
      </c>
      <c r="G227" s="117" t="s">
        <v>53</v>
      </c>
      <c r="J227" s="115" t="s">
        <v>137</v>
      </c>
      <c r="K227" s="105"/>
      <c r="L227" s="50" t="s">
        <v>26</v>
      </c>
      <c r="M227" s="15" t="s">
        <v>187</v>
      </c>
      <c r="N227" s="10" t="s">
        <v>35</v>
      </c>
      <c r="S227" s="1" t="s">
        <v>25</v>
      </c>
      <c r="T227" s="1" t="s">
        <v>27</v>
      </c>
      <c r="U227" s="106">
        <v>45156</v>
      </c>
      <c r="W227" s="23" t="s">
        <v>137</v>
      </c>
      <c r="Y227" s="10"/>
    </row>
    <row r="228" spans="1:26">
      <c r="A228" s="15">
        <v>6600</v>
      </c>
      <c r="B228" s="10" t="s">
        <v>35</v>
      </c>
      <c r="C228" s="3" t="s">
        <v>24</v>
      </c>
      <c r="G228" s="117" t="s">
        <v>53</v>
      </c>
      <c r="J228" s="115" t="s">
        <v>139</v>
      </c>
      <c r="K228" s="105"/>
      <c r="L228" s="50" t="s">
        <v>26</v>
      </c>
      <c r="M228" s="15" t="s">
        <v>188</v>
      </c>
      <c r="N228" s="10" t="s">
        <v>35</v>
      </c>
      <c r="O228" s="3" t="s">
        <v>24</v>
      </c>
      <c r="S228" s="1" t="s">
        <v>25</v>
      </c>
      <c r="T228" s="1" t="s">
        <v>31</v>
      </c>
      <c r="U228" s="106">
        <v>45156</v>
      </c>
      <c r="W228" s="23" t="s">
        <v>139</v>
      </c>
      <c r="Y228" s="10"/>
    </row>
    <row r="229" spans="1:26">
      <c r="A229" s="15">
        <v>6602</v>
      </c>
      <c r="B229" s="10" t="s">
        <v>35</v>
      </c>
      <c r="C229" s="4" t="s">
        <v>29</v>
      </c>
      <c r="G229" s="117" t="s">
        <v>53</v>
      </c>
      <c r="J229" s="115" t="s">
        <v>137</v>
      </c>
      <c r="K229" s="105"/>
      <c r="L229" s="50" t="s">
        <v>26</v>
      </c>
      <c r="M229" s="15" t="s">
        <v>189</v>
      </c>
      <c r="N229" s="10" t="s">
        <v>35</v>
      </c>
      <c r="O229" s="4" t="s">
        <v>29</v>
      </c>
      <c r="S229" s="1" t="s">
        <v>25</v>
      </c>
      <c r="T229" s="1" t="s">
        <v>31</v>
      </c>
      <c r="U229" s="106">
        <v>45153</v>
      </c>
      <c r="W229" s="23" t="s">
        <v>137</v>
      </c>
      <c r="Y229" s="10"/>
    </row>
    <row r="230" spans="1:26">
      <c r="A230" s="15">
        <v>6603</v>
      </c>
      <c r="B230" s="10" t="s">
        <v>35</v>
      </c>
      <c r="C230" s="3" t="s">
        <v>24</v>
      </c>
      <c r="G230" s="117" t="s">
        <v>53</v>
      </c>
      <c r="J230" s="115">
        <v>45150</v>
      </c>
      <c r="K230" s="105"/>
      <c r="L230" s="50" t="s">
        <v>26</v>
      </c>
      <c r="M230" s="15" t="s">
        <v>190</v>
      </c>
      <c r="N230" s="10" t="s">
        <v>35</v>
      </c>
      <c r="O230" s="3" t="s">
        <v>24</v>
      </c>
      <c r="Q230" s="3" t="s">
        <v>24</v>
      </c>
      <c r="S230" s="1" t="s">
        <v>25</v>
      </c>
      <c r="T230" s="1" t="s">
        <v>27</v>
      </c>
      <c r="U230" s="106">
        <v>45153</v>
      </c>
      <c r="W230" s="115">
        <v>45150</v>
      </c>
      <c r="Y230" s="10"/>
    </row>
    <row r="231" spans="1:26">
      <c r="A231" s="15">
        <v>6624</v>
      </c>
      <c r="B231" s="10" t="s">
        <v>35</v>
      </c>
      <c r="C231" s="3" t="s">
        <v>24</v>
      </c>
      <c r="G231" s="117" t="s">
        <v>53</v>
      </c>
      <c r="J231" s="115" t="s">
        <v>129</v>
      </c>
      <c r="K231" s="105"/>
      <c r="L231" s="50" t="s">
        <v>26</v>
      </c>
      <c r="M231" s="15" t="s">
        <v>191</v>
      </c>
      <c r="N231" s="10" t="s">
        <v>35</v>
      </c>
      <c r="O231" s="3" t="s">
        <v>24</v>
      </c>
      <c r="Q231" s="3" t="s">
        <v>24</v>
      </c>
      <c r="S231" s="1" t="s">
        <v>25</v>
      </c>
      <c r="T231" s="1" t="s">
        <v>27</v>
      </c>
      <c r="U231" s="106">
        <v>45153</v>
      </c>
      <c r="W231" s="23" t="s">
        <v>129</v>
      </c>
      <c r="Y231" s="10"/>
    </row>
    <row r="232" spans="1:26">
      <c r="A232" s="15">
        <v>6629</v>
      </c>
      <c r="B232" s="10" t="s">
        <v>35</v>
      </c>
      <c r="C232" s="3" t="s">
        <v>24</v>
      </c>
      <c r="E232" s="3" t="s">
        <v>24</v>
      </c>
      <c r="G232" s="117" t="s">
        <v>53</v>
      </c>
      <c r="J232" s="115">
        <v>45147</v>
      </c>
      <c r="K232" s="105"/>
      <c r="L232" s="50" t="s">
        <v>26</v>
      </c>
      <c r="M232" s="15" t="s">
        <v>192</v>
      </c>
      <c r="N232" s="10" t="s">
        <v>35</v>
      </c>
      <c r="O232" s="3" t="s">
        <v>24</v>
      </c>
      <c r="S232" s="1" t="s">
        <v>25</v>
      </c>
      <c r="T232" s="1" t="s">
        <v>31</v>
      </c>
      <c r="U232" s="106">
        <v>45149</v>
      </c>
      <c r="W232" s="115">
        <v>45177</v>
      </c>
      <c r="X232" s="11" t="s">
        <v>193</v>
      </c>
      <c r="Y232" s="10" t="s">
        <v>35</v>
      </c>
      <c r="Z232" s="4" t="s">
        <v>29</v>
      </c>
    </row>
    <row r="233" spans="1:26">
      <c r="A233" s="15">
        <v>6630</v>
      </c>
      <c r="B233" s="10" t="s">
        <v>35</v>
      </c>
      <c r="C233" s="3" t="s">
        <v>24</v>
      </c>
      <c r="G233" s="117" t="s">
        <v>53</v>
      </c>
      <c r="J233" s="115" t="s">
        <v>139</v>
      </c>
      <c r="K233" s="105"/>
      <c r="L233" s="50" t="s">
        <v>26</v>
      </c>
      <c r="M233" s="15" t="s">
        <v>194</v>
      </c>
      <c r="N233" s="10" t="s">
        <v>35</v>
      </c>
      <c r="O233" s="3" t="s">
        <v>24</v>
      </c>
      <c r="S233" s="1" t="s">
        <v>25</v>
      </c>
      <c r="T233" s="1" t="s">
        <v>31</v>
      </c>
      <c r="U233" s="106">
        <v>45156</v>
      </c>
      <c r="W233" s="23" t="s">
        <v>139</v>
      </c>
      <c r="Y233" s="10"/>
    </row>
    <row r="234" spans="1:26">
      <c r="A234" s="15">
        <v>6632</v>
      </c>
      <c r="B234" s="10" t="s">
        <v>35</v>
      </c>
      <c r="C234" s="3" t="s">
        <v>24</v>
      </c>
      <c r="E234" s="3" t="s">
        <v>24</v>
      </c>
      <c r="G234" s="117" t="s">
        <v>53</v>
      </c>
      <c r="J234" s="115" t="s">
        <v>195</v>
      </c>
      <c r="K234" s="105"/>
      <c r="L234" s="50" t="s">
        <v>26</v>
      </c>
      <c r="M234" s="15" t="s">
        <v>196</v>
      </c>
      <c r="N234" s="10" t="s">
        <v>35</v>
      </c>
      <c r="O234" s="3" t="s">
        <v>24</v>
      </c>
      <c r="S234" s="1" t="s">
        <v>25</v>
      </c>
      <c r="T234" s="1" t="s">
        <v>27</v>
      </c>
      <c r="U234" s="106">
        <v>45160</v>
      </c>
      <c r="W234" s="23" t="s">
        <v>195</v>
      </c>
      <c r="X234" s="11" t="s">
        <v>197</v>
      </c>
      <c r="Y234" s="10" t="s">
        <v>35</v>
      </c>
      <c r="Z234" s="4" t="s">
        <v>29</v>
      </c>
    </row>
    <row r="235" spans="1:26">
      <c r="A235" s="15">
        <v>6644</v>
      </c>
      <c r="B235" s="10" t="s">
        <v>35</v>
      </c>
      <c r="C235" s="3" t="s">
        <v>24</v>
      </c>
      <c r="E235" s="3" t="s">
        <v>24</v>
      </c>
      <c r="G235" s="117" t="s">
        <v>53</v>
      </c>
      <c r="J235" s="115" t="s">
        <v>198</v>
      </c>
      <c r="K235" s="105"/>
      <c r="L235" s="50" t="s">
        <v>26</v>
      </c>
      <c r="M235" s="15" t="s">
        <v>199</v>
      </c>
      <c r="N235" s="10" t="s">
        <v>35</v>
      </c>
      <c r="S235" s="1" t="s">
        <v>25</v>
      </c>
      <c r="T235" s="1" t="s">
        <v>31</v>
      </c>
      <c r="U235" s="106">
        <v>45145</v>
      </c>
      <c r="W235" s="23" t="s">
        <v>198</v>
      </c>
      <c r="Y235" s="10"/>
    </row>
    <row r="236" spans="1:26">
      <c r="A236" s="15">
        <v>6652</v>
      </c>
      <c r="B236" s="10" t="s">
        <v>35</v>
      </c>
      <c r="C236" s="3" t="s">
        <v>24</v>
      </c>
      <c r="E236" s="3" t="s">
        <v>24</v>
      </c>
      <c r="G236" s="117" t="s">
        <v>53</v>
      </c>
      <c r="J236" s="115">
        <v>45143</v>
      </c>
      <c r="K236" s="105"/>
      <c r="L236" s="50" t="s">
        <v>26</v>
      </c>
      <c r="M236" s="15" t="s">
        <v>200</v>
      </c>
      <c r="N236" s="10" t="s">
        <v>35</v>
      </c>
      <c r="O236" s="3" t="s">
        <v>24</v>
      </c>
      <c r="S236" s="1" t="s">
        <v>25</v>
      </c>
      <c r="T236" s="1" t="s">
        <v>27</v>
      </c>
      <c r="U236" s="106">
        <v>45145</v>
      </c>
      <c r="W236" s="115">
        <v>45143</v>
      </c>
      <c r="Y236" s="10"/>
    </row>
    <row r="237" spans="1:26">
      <c r="A237" s="15">
        <v>6655</v>
      </c>
      <c r="B237" s="10" t="s">
        <v>35</v>
      </c>
      <c r="C237" s="3" t="s">
        <v>24</v>
      </c>
      <c r="E237" s="4" t="s">
        <v>29</v>
      </c>
      <c r="G237" s="117" t="s">
        <v>53</v>
      </c>
      <c r="J237" s="115" t="s">
        <v>129</v>
      </c>
      <c r="K237" s="105"/>
      <c r="L237" s="50" t="s">
        <v>26</v>
      </c>
      <c r="M237" s="15" t="s">
        <v>201</v>
      </c>
      <c r="N237" s="10" t="s">
        <v>35</v>
      </c>
      <c r="O237" s="3" t="s">
        <v>24</v>
      </c>
      <c r="Q237" s="3" t="s">
        <v>24</v>
      </c>
      <c r="S237" s="1" t="s">
        <v>25</v>
      </c>
      <c r="T237" s="1" t="s">
        <v>27</v>
      </c>
      <c r="U237" s="106">
        <v>45153</v>
      </c>
      <c r="W237" s="23" t="s">
        <v>129</v>
      </c>
      <c r="X237" s="11" t="s">
        <v>169</v>
      </c>
      <c r="Y237" s="10" t="s">
        <v>35</v>
      </c>
      <c r="Z237" s="4" t="s">
        <v>29</v>
      </c>
    </row>
    <row r="238" spans="1:26">
      <c r="A238" s="15">
        <v>6659</v>
      </c>
      <c r="B238" s="10" t="s">
        <v>35</v>
      </c>
      <c r="C238" s="3" t="s">
        <v>24</v>
      </c>
      <c r="E238" s="3" t="s">
        <v>24</v>
      </c>
      <c r="G238" s="117" t="s">
        <v>53</v>
      </c>
      <c r="J238" s="115">
        <v>45143</v>
      </c>
      <c r="K238" s="105"/>
      <c r="L238" s="50" t="s">
        <v>26</v>
      </c>
      <c r="M238" s="15" t="s">
        <v>202</v>
      </c>
      <c r="N238" s="10" t="s">
        <v>35</v>
      </c>
      <c r="O238" s="3" t="s">
        <v>24</v>
      </c>
      <c r="Q238" s="3" t="s">
        <v>24</v>
      </c>
      <c r="S238" s="1" t="s">
        <v>25</v>
      </c>
      <c r="T238" s="1" t="s">
        <v>27</v>
      </c>
      <c r="U238" s="106">
        <v>45153</v>
      </c>
      <c r="W238" s="115">
        <v>45143</v>
      </c>
      <c r="Y238" s="10"/>
    </row>
    <row r="239" spans="1:26">
      <c r="A239" s="15">
        <v>6660</v>
      </c>
      <c r="B239" s="10" t="s">
        <v>35</v>
      </c>
      <c r="C239" s="3" t="s">
        <v>24</v>
      </c>
      <c r="E239" s="3" t="s">
        <v>24</v>
      </c>
      <c r="G239" s="117" t="s">
        <v>53</v>
      </c>
      <c r="J239" s="115" t="s">
        <v>137</v>
      </c>
      <c r="K239" s="105"/>
      <c r="L239" s="50" t="s">
        <v>26</v>
      </c>
      <c r="M239" s="15" t="s">
        <v>203</v>
      </c>
      <c r="N239" s="10" t="s">
        <v>35</v>
      </c>
      <c r="O239" s="4" t="s">
        <v>29</v>
      </c>
      <c r="Q239" s="3" t="s">
        <v>24</v>
      </c>
      <c r="S239" s="1" t="s">
        <v>25</v>
      </c>
      <c r="T239" s="1" t="s">
        <v>27</v>
      </c>
      <c r="U239" s="106">
        <v>45153</v>
      </c>
      <c r="W239" s="23" t="s">
        <v>137</v>
      </c>
      <c r="Y239" s="10"/>
    </row>
    <row r="240" spans="1:26">
      <c r="A240" s="15">
        <v>6668</v>
      </c>
      <c r="B240" s="10" t="s">
        <v>35</v>
      </c>
      <c r="C240" s="3" t="s">
        <v>24</v>
      </c>
      <c r="E240" s="4" t="s">
        <v>29</v>
      </c>
      <c r="G240" s="117" t="s">
        <v>53</v>
      </c>
      <c r="J240" s="115" t="s">
        <v>204</v>
      </c>
      <c r="K240" s="105"/>
      <c r="L240" s="50" t="s">
        <v>26</v>
      </c>
      <c r="M240" s="15" t="s">
        <v>205</v>
      </c>
      <c r="N240" s="10" t="s">
        <v>35</v>
      </c>
      <c r="O240" s="3" t="s">
        <v>24</v>
      </c>
      <c r="S240" s="1" t="s">
        <v>25</v>
      </c>
      <c r="T240" s="1" t="s">
        <v>27</v>
      </c>
      <c r="U240" s="106">
        <v>45145</v>
      </c>
      <c r="W240" s="23" t="s">
        <v>204</v>
      </c>
      <c r="X240" s="11" t="s">
        <v>206</v>
      </c>
      <c r="Y240" s="10" t="s">
        <v>35</v>
      </c>
      <c r="Z240" s="4" t="s">
        <v>29</v>
      </c>
    </row>
    <row r="241" spans="1:26">
      <c r="A241" s="15">
        <v>6680</v>
      </c>
      <c r="B241" s="10" t="s">
        <v>35</v>
      </c>
      <c r="C241" s="3" t="s">
        <v>24</v>
      </c>
      <c r="E241" s="3" t="s">
        <v>24</v>
      </c>
      <c r="G241" s="117" t="s">
        <v>53</v>
      </c>
      <c r="J241" s="115">
        <v>45150</v>
      </c>
      <c r="K241" s="105"/>
      <c r="L241" s="50" t="s">
        <v>26</v>
      </c>
      <c r="M241" s="15" t="s">
        <v>207</v>
      </c>
      <c r="N241" s="10" t="s">
        <v>35</v>
      </c>
      <c r="O241" s="3" t="s">
        <v>24</v>
      </c>
      <c r="Q241" s="3" t="s">
        <v>24</v>
      </c>
      <c r="S241" s="1" t="s">
        <v>25</v>
      </c>
      <c r="T241" s="1" t="s">
        <v>27</v>
      </c>
      <c r="U241" s="106">
        <v>45153</v>
      </c>
      <c r="W241" s="115">
        <v>45150</v>
      </c>
      <c r="X241" s="11" t="s">
        <v>208</v>
      </c>
      <c r="Y241" s="10" t="s">
        <v>35</v>
      </c>
      <c r="Z241" s="4" t="s">
        <v>29</v>
      </c>
    </row>
    <row r="242" spans="1:26">
      <c r="A242" s="15">
        <v>6684</v>
      </c>
      <c r="B242" s="10" t="s">
        <v>35</v>
      </c>
      <c r="C242" s="3" t="s">
        <v>24</v>
      </c>
      <c r="E242" s="3" t="s">
        <v>24</v>
      </c>
      <c r="G242" s="117" t="s">
        <v>53</v>
      </c>
      <c r="J242" s="115">
        <v>45146</v>
      </c>
      <c r="K242" s="105"/>
      <c r="L242" s="50" t="s">
        <v>26</v>
      </c>
      <c r="M242" s="15" t="s">
        <v>209</v>
      </c>
      <c r="N242" s="10" t="s">
        <v>35</v>
      </c>
      <c r="O242" s="3" t="s">
        <v>24</v>
      </c>
      <c r="S242" s="1" t="s">
        <v>25</v>
      </c>
      <c r="T242" s="1" t="s">
        <v>31</v>
      </c>
      <c r="U242" s="106">
        <v>45149</v>
      </c>
      <c r="W242" s="115">
        <v>45146</v>
      </c>
      <c r="Y242" s="10"/>
    </row>
    <row r="243" spans="1:26">
      <c r="A243" s="15">
        <v>6707</v>
      </c>
      <c r="B243" s="10" t="s">
        <v>35</v>
      </c>
      <c r="C243" s="3" t="s">
        <v>24</v>
      </c>
      <c r="E243" s="6" t="s">
        <v>46</v>
      </c>
      <c r="G243" s="117" t="s">
        <v>53</v>
      </c>
      <c r="J243" s="115">
        <v>45146</v>
      </c>
      <c r="K243" s="105"/>
      <c r="L243" s="50" t="s">
        <v>26</v>
      </c>
      <c r="M243" s="15" t="s">
        <v>210</v>
      </c>
      <c r="N243" s="10" t="s">
        <v>35</v>
      </c>
      <c r="O243" s="3" t="s">
        <v>24</v>
      </c>
      <c r="S243" s="1" t="s">
        <v>25</v>
      </c>
      <c r="T243" s="1" t="s">
        <v>31</v>
      </c>
      <c r="U243" s="106">
        <v>45149</v>
      </c>
      <c r="W243" s="115">
        <v>45146</v>
      </c>
      <c r="Y243" s="10"/>
    </row>
    <row r="244" spans="1:26">
      <c r="A244" s="15">
        <v>6710</v>
      </c>
      <c r="B244" s="10" t="s">
        <v>35</v>
      </c>
      <c r="C244" s="3" t="s">
        <v>24</v>
      </c>
      <c r="E244" s="4" t="s">
        <v>29</v>
      </c>
      <c r="G244" s="117" t="s">
        <v>53</v>
      </c>
      <c r="J244" s="115">
        <v>45143</v>
      </c>
      <c r="K244" s="105"/>
      <c r="L244" s="50" t="s">
        <v>26</v>
      </c>
      <c r="M244" s="15" t="s">
        <v>211</v>
      </c>
      <c r="N244" s="10" t="s">
        <v>35</v>
      </c>
      <c r="O244" s="3" t="s">
        <v>24</v>
      </c>
      <c r="S244" s="1" t="s">
        <v>25</v>
      </c>
      <c r="T244" s="1" t="s">
        <v>31</v>
      </c>
      <c r="U244" s="106">
        <v>45145</v>
      </c>
      <c r="W244" s="115">
        <v>45143</v>
      </c>
      <c r="Y244" s="10"/>
    </row>
    <row r="245" spans="1:26">
      <c r="A245" s="15">
        <v>6716</v>
      </c>
      <c r="B245" s="10" t="s">
        <v>35</v>
      </c>
      <c r="C245" s="3" t="s">
        <v>24</v>
      </c>
      <c r="G245" s="117" t="s">
        <v>53</v>
      </c>
      <c r="J245" s="115" t="s">
        <v>150</v>
      </c>
      <c r="K245" s="105"/>
      <c r="L245" s="50" t="s">
        <v>26</v>
      </c>
      <c r="M245" s="15" t="s">
        <v>212</v>
      </c>
      <c r="N245" s="10" t="s">
        <v>35</v>
      </c>
      <c r="O245" s="4" t="s">
        <v>29</v>
      </c>
      <c r="S245" s="1" t="s">
        <v>25</v>
      </c>
      <c r="T245" s="1" t="s">
        <v>31</v>
      </c>
      <c r="U245" s="106">
        <v>45153</v>
      </c>
      <c r="W245" s="23" t="s">
        <v>150</v>
      </c>
      <c r="Y245" s="10"/>
    </row>
    <row r="246" spans="1:26">
      <c r="A246" s="15">
        <v>6717</v>
      </c>
      <c r="B246" s="10" t="s">
        <v>35</v>
      </c>
      <c r="C246" s="3" t="s">
        <v>24</v>
      </c>
      <c r="E246" s="4" t="s">
        <v>29</v>
      </c>
      <c r="G246" s="117" t="s">
        <v>53</v>
      </c>
      <c r="J246" s="115" t="s">
        <v>213</v>
      </c>
      <c r="K246" s="105"/>
      <c r="L246" s="50" t="s">
        <v>26</v>
      </c>
      <c r="M246" s="15" t="s">
        <v>214</v>
      </c>
      <c r="N246" s="10" t="s">
        <v>35</v>
      </c>
      <c r="O246" s="3" t="s">
        <v>24</v>
      </c>
      <c r="Q246" s="3" t="s">
        <v>24</v>
      </c>
      <c r="S246" s="1" t="s">
        <v>25</v>
      </c>
      <c r="T246" s="1" t="s">
        <v>27</v>
      </c>
      <c r="U246" s="106">
        <v>45153</v>
      </c>
      <c r="W246" s="23" t="s">
        <v>213</v>
      </c>
      <c r="Y246" s="10"/>
    </row>
    <row r="247" spans="1:26">
      <c r="A247" s="15">
        <v>6719</v>
      </c>
      <c r="B247" s="10" t="s">
        <v>35</v>
      </c>
      <c r="C247" s="4" t="s">
        <v>29</v>
      </c>
      <c r="E247" s="3" t="s">
        <v>24</v>
      </c>
      <c r="G247" s="117" t="s">
        <v>53</v>
      </c>
      <c r="J247" s="115">
        <v>45145</v>
      </c>
      <c r="K247" s="105"/>
      <c r="L247" s="50" t="s">
        <v>26</v>
      </c>
      <c r="M247" s="15" t="s">
        <v>215</v>
      </c>
      <c r="N247" s="10" t="s">
        <v>35</v>
      </c>
      <c r="O247" s="3" t="s">
        <v>24</v>
      </c>
      <c r="S247" s="1" t="s">
        <v>25</v>
      </c>
      <c r="T247" s="1" t="s">
        <v>31</v>
      </c>
      <c r="U247" s="106">
        <v>45149</v>
      </c>
      <c r="W247" s="115">
        <v>45145</v>
      </c>
      <c r="X247" s="11" t="s">
        <v>216</v>
      </c>
      <c r="Y247" s="10" t="s">
        <v>35</v>
      </c>
      <c r="Z247" s="4" t="s">
        <v>29</v>
      </c>
    </row>
    <row r="248" spans="1:26">
      <c r="A248" s="15">
        <v>6729</v>
      </c>
      <c r="B248" s="10" t="s">
        <v>35</v>
      </c>
      <c r="C248" s="3" t="s">
        <v>24</v>
      </c>
      <c r="E248" s="4" t="s">
        <v>29</v>
      </c>
      <c r="G248" s="117" t="s">
        <v>53</v>
      </c>
      <c r="J248" s="115">
        <v>45145</v>
      </c>
      <c r="K248" s="105"/>
      <c r="L248" s="50" t="s">
        <v>26</v>
      </c>
      <c r="M248" s="15" t="s">
        <v>217</v>
      </c>
      <c r="N248" s="10" t="s">
        <v>35</v>
      </c>
      <c r="O248" s="3" t="s">
        <v>24</v>
      </c>
      <c r="S248" s="1" t="s">
        <v>25</v>
      </c>
      <c r="T248" s="1" t="s">
        <v>27</v>
      </c>
      <c r="U248" s="106">
        <v>45149</v>
      </c>
      <c r="W248" s="115">
        <v>45145</v>
      </c>
      <c r="Y248" s="10"/>
    </row>
    <row r="249" spans="1:26">
      <c r="A249" s="15">
        <v>6730</v>
      </c>
      <c r="B249" s="10" t="s">
        <v>35</v>
      </c>
      <c r="C249" s="3" t="s">
        <v>24</v>
      </c>
      <c r="E249" s="6" t="s">
        <v>46</v>
      </c>
      <c r="G249" s="117" t="s">
        <v>53</v>
      </c>
      <c r="J249" s="132" t="s">
        <v>122</v>
      </c>
      <c r="K249" s="105"/>
      <c r="L249" s="50" t="s">
        <v>26</v>
      </c>
      <c r="M249" s="15" t="s">
        <v>218</v>
      </c>
      <c r="N249" s="10" t="s">
        <v>35</v>
      </c>
      <c r="O249" s="3" t="s">
        <v>24</v>
      </c>
      <c r="S249" s="1" t="s">
        <v>25</v>
      </c>
      <c r="T249" s="1" t="s">
        <v>31</v>
      </c>
      <c r="U249" s="106">
        <v>45156</v>
      </c>
      <c r="W249" s="133" t="s">
        <v>122</v>
      </c>
      <c r="Y249" s="10"/>
    </row>
    <row r="250" spans="1:26">
      <c r="A250" s="15">
        <v>6733</v>
      </c>
      <c r="B250" s="10" t="s">
        <v>35</v>
      </c>
      <c r="C250" s="3" t="s">
        <v>24</v>
      </c>
      <c r="E250" s="4" t="s">
        <v>29</v>
      </c>
      <c r="G250" s="117" t="s">
        <v>53</v>
      </c>
      <c r="J250" s="115">
        <v>45148</v>
      </c>
      <c r="K250" s="105"/>
      <c r="L250" s="50" t="s">
        <v>26</v>
      </c>
      <c r="M250" s="15" t="s">
        <v>219</v>
      </c>
      <c r="N250" s="10" t="s">
        <v>35</v>
      </c>
      <c r="O250" s="3" t="s">
        <v>24</v>
      </c>
      <c r="S250" s="1" t="s">
        <v>25</v>
      </c>
      <c r="T250" s="1" t="s">
        <v>31</v>
      </c>
      <c r="U250" s="106">
        <v>45149</v>
      </c>
      <c r="W250" s="115">
        <v>45148</v>
      </c>
      <c r="Y250" s="10"/>
    </row>
    <row r="251" spans="1:26">
      <c r="A251" s="15">
        <v>6739</v>
      </c>
      <c r="B251" s="10" t="s">
        <v>35</v>
      </c>
      <c r="C251" s="3" t="s">
        <v>24</v>
      </c>
      <c r="G251" s="117" t="s">
        <v>53</v>
      </c>
      <c r="J251" s="115">
        <v>45148</v>
      </c>
      <c r="K251" s="105"/>
      <c r="L251" s="50" t="s">
        <v>26</v>
      </c>
      <c r="M251" s="15" t="s">
        <v>220</v>
      </c>
      <c r="N251" s="10" t="s">
        <v>35</v>
      </c>
      <c r="O251" s="3" t="s">
        <v>24</v>
      </c>
      <c r="S251" s="1" t="s">
        <v>25</v>
      </c>
      <c r="T251" s="1" t="s">
        <v>27</v>
      </c>
      <c r="U251" s="106">
        <v>45149</v>
      </c>
      <c r="W251" s="115">
        <v>45148</v>
      </c>
      <c r="Y251" s="10"/>
    </row>
    <row r="252" spans="1:26">
      <c r="A252" s="15">
        <v>6745</v>
      </c>
      <c r="B252" s="10" t="s">
        <v>35</v>
      </c>
      <c r="C252" s="3" t="s">
        <v>24</v>
      </c>
      <c r="E252" s="3" t="s">
        <v>24</v>
      </c>
      <c r="G252" s="117" t="s">
        <v>53</v>
      </c>
      <c r="J252" s="115" t="s">
        <v>195</v>
      </c>
      <c r="K252" s="105"/>
      <c r="L252" s="50" t="s">
        <v>26</v>
      </c>
      <c r="M252" s="15" t="s">
        <v>221</v>
      </c>
      <c r="N252" s="10" t="s">
        <v>35</v>
      </c>
      <c r="O252" s="3" t="s">
        <v>24</v>
      </c>
      <c r="S252" s="1" t="s">
        <v>25</v>
      </c>
      <c r="T252" s="1" t="s">
        <v>27</v>
      </c>
      <c r="U252" s="106">
        <v>45160</v>
      </c>
      <c r="W252" s="23" t="s">
        <v>195</v>
      </c>
      <c r="X252" s="11" t="s">
        <v>197</v>
      </c>
      <c r="Y252" s="10" t="s">
        <v>35</v>
      </c>
      <c r="Z252" s="4" t="s">
        <v>29</v>
      </c>
    </row>
    <row r="253" spans="1:26">
      <c r="A253" s="15">
        <v>6751</v>
      </c>
      <c r="B253" s="10" t="s">
        <v>35</v>
      </c>
      <c r="C253" s="3" t="s">
        <v>24</v>
      </c>
      <c r="G253" s="117" t="s">
        <v>53</v>
      </c>
      <c r="J253" s="115" t="s">
        <v>129</v>
      </c>
      <c r="K253" s="105"/>
      <c r="L253" s="50" t="s">
        <v>26</v>
      </c>
      <c r="M253" s="15" t="s">
        <v>222</v>
      </c>
      <c r="N253" s="10" t="s">
        <v>35</v>
      </c>
      <c r="O253" s="3" t="s">
        <v>24</v>
      </c>
      <c r="Q253" s="3" t="s">
        <v>24</v>
      </c>
      <c r="S253" s="1" t="s">
        <v>25</v>
      </c>
      <c r="T253" s="1" t="s">
        <v>27</v>
      </c>
      <c r="U253" s="106">
        <v>45153</v>
      </c>
      <c r="W253" s="23" t="s">
        <v>129</v>
      </c>
      <c r="Y253" s="10"/>
    </row>
    <row r="254" spans="1:26">
      <c r="A254" s="15">
        <v>6765</v>
      </c>
      <c r="B254" s="10" t="s">
        <v>35</v>
      </c>
      <c r="C254" s="3" t="s">
        <v>24</v>
      </c>
      <c r="G254" s="117" t="s">
        <v>53</v>
      </c>
      <c r="J254" s="115">
        <v>45141</v>
      </c>
      <c r="K254" s="105"/>
      <c r="L254" s="50" t="s">
        <v>26</v>
      </c>
      <c r="M254" s="15" t="s">
        <v>223</v>
      </c>
      <c r="N254" s="10" t="s">
        <v>35</v>
      </c>
      <c r="S254" s="1" t="s">
        <v>25</v>
      </c>
      <c r="T254" s="1" t="s">
        <v>31</v>
      </c>
      <c r="U254" s="106">
        <v>45145</v>
      </c>
      <c r="W254" s="115">
        <v>45141</v>
      </c>
      <c r="X254" s="11" t="s">
        <v>224</v>
      </c>
      <c r="Y254" s="10" t="s">
        <v>35</v>
      </c>
      <c r="Z254" s="4" t="s">
        <v>29</v>
      </c>
    </row>
    <row r="255" spans="1:26">
      <c r="A255" s="158">
        <v>6771</v>
      </c>
      <c r="B255" s="159" t="s">
        <v>35</v>
      </c>
      <c r="C255" s="157" t="s">
        <v>24</v>
      </c>
      <c r="D255" s="156"/>
      <c r="E255" s="157" t="s">
        <v>24</v>
      </c>
      <c r="F255" s="170"/>
      <c r="G255" s="153" t="s">
        <v>53</v>
      </c>
      <c r="H255" s="154"/>
      <c r="I255" s="154"/>
      <c r="J255" s="115">
        <v>45145</v>
      </c>
      <c r="K255" s="105"/>
      <c r="L255" s="155" t="s">
        <v>26</v>
      </c>
      <c r="M255" s="15">
        <v>7317</v>
      </c>
      <c r="N255" s="10" t="s">
        <v>35</v>
      </c>
      <c r="O255" s="3" t="s">
        <v>24</v>
      </c>
      <c r="S255" s="1" t="s">
        <v>25</v>
      </c>
      <c r="U255" s="106">
        <v>45149</v>
      </c>
      <c r="W255" s="115">
        <v>45145</v>
      </c>
      <c r="Y255" s="10"/>
    </row>
    <row r="256" spans="1:26">
      <c r="A256" s="158"/>
      <c r="B256" s="159"/>
      <c r="C256" s="157"/>
      <c r="D256" s="156"/>
      <c r="E256" s="157"/>
      <c r="F256" s="170"/>
      <c r="G256" s="153"/>
      <c r="H256" s="154"/>
      <c r="I256" s="154"/>
      <c r="J256" s="115">
        <v>45145</v>
      </c>
      <c r="K256" s="105"/>
      <c r="L256" s="155"/>
      <c r="M256" s="15">
        <v>7318</v>
      </c>
      <c r="N256" s="10" t="s">
        <v>35</v>
      </c>
      <c r="O256" s="3" t="s">
        <v>24</v>
      </c>
      <c r="S256" s="1" t="s">
        <v>25</v>
      </c>
      <c r="U256" s="106">
        <v>45149</v>
      </c>
      <c r="W256" s="115">
        <v>45145</v>
      </c>
      <c r="X256" s="11" t="s">
        <v>125</v>
      </c>
      <c r="Y256" s="10" t="s">
        <v>35</v>
      </c>
      <c r="Z256" s="4" t="s">
        <v>29</v>
      </c>
    </row>
    <row r="257" spans="1:26">
      <c r="A257" s="15">
        <v>6781</v>
      </c>
      <c r="B257" s="10" t="s">
        <v>35</v>
      </c>
      <c r="C257" s="3" t="s">
        <v>24</v>
      </c>
      <c r="G257" s="117" t="s">
        <v>53</v>
      </c>
      <c r="J257" s="115"/>
      <c r="K257" s="105"/>
      <c r="L257" s="50" t="s">
        <v>26</v>
      </c>
      <c r="M257" s="15" t="s">
        <v>225</v>
      </c>
      <c r="N257" s="10" t="s">
        <v>35</v>
      </c>
      <c r="S257" s="1" t="s">
        <v>25</v>
      </c>
      <c r="T257" s="1" t="s">
        <v>31</v>
      </c>
      <c r="X257" s="11" t="s">
        <v>125</v>
      </c>
      <c r="Y257" s="10" t="s">
        <v>35</v>
      </c>
      <c r="Z257" s="4" t="s">
        <v>29</v>
      </c>
    </row>
    <row r="258" spans="1:26">
      <c r="A258" s="15">
        <v>6787</v>
      </c>
      <c r="B258" s="10" t="s">
        <v>35</v>
      </c>
      <c r="C258" s="3" t="s">
        <v>24</v>
      </c>
      <c r="E258" s="4" t="s">
        <v>29</v>
      </c>
      <c r="G258" s="117" t="s">
        <v>53</v>
      </c>
      <c r="J258" s="115" t="s">
        <v>139</v>
      </c>
      <c r="K258" s="105"/>
      <c r="L258" s="50" t="s">
        <v>26</v>
      </c>
      <c r="M258" s="15" t="s">
        <v>226</v>
      </c>
      <c r="N258" s="10" t="s">
        <v>35</v>
      </c>
      <c r="S258" s="1" t="s">
        <v>25</v>
      </c>
      <c r="T258" s="1" t="s">
        <v>31</v>
      </c>
      <c r="U258" s="106">
        <v>45156</v>
      </c>
      <c r="W258" s="23" t="s">
        <v>139</v>
      </c>
      <c r="Y258" s="10"/>
    </row>
    <row r="259" spans="1:26">
      <c r="A259" s="15">
        <v>6809</v>
      </c>
      <c r="B259" s="10" t="s">
        <v>35</v>
      </c>
      <c r="C259" s="4" t="s">
        <v>29</v>
      </c>
      <c r="G259" s="117" t="s">
        <v>53</v>
      </c>
      <c r="J259" s="115" t="s">
        <v>129</v>
      </c>
      <c r="K259" s="105"/>
      <c r="L259" s="50" t="s">
        <v>26</v>
      </c>
      <c r="M259" s="15" t="s">
        <v>227</v>
      </c>
      <c r="N259" s="10" t="s">
        <v>35</v>
      </c>
      <c r="O259" s="3" t="s">
        <v>24</v>
      </c>
      <c r="Q259" s="6" t="s">
        <v>46</v>
      </c>
      <c r="S259" s="1" t="s">
        <v>25</v>
      </c>
      <c r="T259" s="1" t="s">
        <v>27</v>
      </c>
      <c r="U259" s="106">
        <v>45153</v>
      </c>
      <c r="W259" s="23" t="s">
        <v>129</v>
      </c>
      <c r="Y259" s="10"/>
    </row>
    <row r="260" spans="1:26">
      <c r="A260" s="15">
        <v>6816</v>
      </c>
      <c r="B260" s="10" t="s">
        <v>35</v>
      </c>
      <c r="C260" s="4" t="s">
        <v>29</v>
      </c>
      <c r="G260" s="117" t="s">
        <v>53</v>
      </c>
      <c r="J260" s="115">
        <v>45146</v>
      </c>
      <c r="K260" s="105"/>
      <c r="L260" s="50" t="s">
        <v>26</v>
      </c>
      <c r="M260" s="15" t="s">
        <v>228</v>
      </c>
      <c r="N260" s="10" t="s">
        <v>35</v>
      </c>
      <c r="O260" s="3" t="s">
        <v>24</v>
      </c>
      <c r="S260" s="1" t="s">
        <v>25</v>
      </c>
      <c r="T260" s="1" t="s">
        <v>31</v>
      </c>
      <c r="U260" s="106">
        <v>45149</v>
      </c>
      <c r="W260" s="115">
        <v>45146</v>
      </c>
      <c r="X260" s="11" t="s">
        <v>229</v>
      </c>
      <c r="Y260" s="10" t="s">
        <v>35</v>
      </c>
      <c r="Z260" s="4" t="s">
        <v>29</v>
      </c>
    </row>
    <row r="261" spans="1:26">
      <c r="A261" s="15">
        <v>6837</v>
      </c>
      <c r="B261" s="10" t="s">
        <v>35</v>
      </c>
      <c r="C261" s="3" t="s">
        <v>24</v>
      </c>
      <c r="G261" s="117" t="s">
        <v>53</v>
      </c>
      <c r="J261" s="115">
        <v>45144</v>
      </c>
      <c r="K261" s="105"/>
      <c r="L261" s="50" t="s">
        <v>26</v>
      </c>
      <c r="M261" s="15" t="s">
        <v>230</v>
      </c>
      <c r="N261" s="10" t="s">
        <v>35</v>
      </c>
      <c r="O261" s="4" t="s">
        <v>29</v>
      </c>
      <c r="S261" s="1" t="s">
        <v>25</v>
      </c>
      <c r="T261" s="1" t="s">
        <v>27</v>
      </c>
      <c r="U261" s="106">
        <v>45145</v>
      </c>
      <c r="W261" s="115">
        <v>45144</v>
      </c>
      <c r="Y261" s="10"/>
    </row>
    <row r="262" spans="1:26">
      <c r="A262" s="15">
        <v>6840</v>
      </c>
      <c r="B262" s="10" t="s">
        <v>35</v>
      </c>
      <c r="C262" s="3" t="s">
        <v>24</v>
      </c>
      <c r="E262" s="4" t="s">
        <v>29</v>
      </c>
      <c r="G262" s="117" t="s">
        <v>53</v>
      </c>
      <c r="J262" s="115">
        <v>45148</v>
      </c>
      <c r="K262" s="105"/>
      <c r="L262" s="50" t="s">
        <v>26</v>
      </c>
      <c r="M262" s="15" t="s">
        <v>231</v>
      </c>
      <c r="N262" s="10" t="s">
        <v>35</v>
      </c>
      <c r="O262" s="3" t="s">
        <v>24</v>
      </c>
      <c r="S262" s="1" t="s">
        <v>25</v>
      </c>
      <c r="T262" s="1" t="s">
        <v>31</v>
      </c>
      <c r="U262" s="106">
        <v>45149</v>
      </c>
      <c r="W262" s="115">
        <v>45148</v>
      </c>
      <c r="X262" s="11" t="s">
        <v>185</v>
      </c>
      <c r="Y262" s="10" t="s">
        <v>35</v>
      </c>
      <c r="Z262" s="4" t="s">
        <v>29</v>
      </c>
    </row>
    <row r="263" spans="1:26">
      <c r="A263" s="15">
        <v>6842</v>
      </c>
      <c r="B263" s="10" t="s">
        <v>35</v>
      </c>
      <c r="C263" s="3" t="s">
        <v>24</v>
      </c>
      <c r="G263" s="117" t="s">
        <v>53</v>
      </c>
      <c r="J263" s="115" t="s">
        <v>137</v>
      </c>
      <c r="K263" s="105"/>
      <c r="L263" s="50" t="s">
        <v>26</v>
      </c>
      <c r="M263" s="15" t="s">
        <v>232</v>
      </c>
      <c r="N263" s="10" t="s">
        <v>35</v>
      </c>
      <c r="O263" s="4" t="s">
        <v>29</v>
      </c>
      <c r="Q263" s="3" t="s">
        <v>24</v>
      </c>
      <c r="S263" s="1" t="s">
        <v>25</v>
      </c>
      <c r="T263" s="1" t="s">
        <v>31</v>
      </c>
      <c r="U263" s="106">
        <v>45156</v>
      </c>
      <c r="W263" s="23" t="s">
        <v>137</v>
      </c>
      <c r="Y263" s="10"/>
    </row>
    <row r="264" spans="1:26">
      <c r="A264" s="15">
        <v>6847</v>
      </c>
      <c r="B264" s="10" t="s">
        <v>35</v>
      </c>
      <c r="C264" s="3" t="s">
        <v>24</v>
      </c>
      <c r="E264" s="4" t="s">
        <v>29</v>
      </c>
      <c r="G264" s="117" t="s">
        <v>53</v>
      </c>
      <c r="J264" s="115" t="s">
        <v>233</v>
      </c>
      <c r="K264" s="105"/>
      <c r="L264" s="50" t="s">
        <v>26</v>
      </c>
      <c r="M264" s="15" t="s">
        <v>234</v>
      </c>
      <c r="N264" s="10" t="s">
        <v>35</v>
      </c>
      <c r="O264" s="4" t="s">
        <v>29</v>
      </c>
      <c r="Q264" s="4" t="s">
        <v>29</v>
      </c>
      <c r="S264" s="1" t="s">
        <v>25</v>
      </c>
      <c r="T264" s="1" t="s">
        <v>27</v>
      </c>
      <c r="U264" s="106">
        <v>45166</v>
      </c>
      <c r="W264" s="23" t="s">
        <v>233</v>
      </c>
      <c r="Y264" s="10"/>
    </row>
    <row r="265" spans="1:26">
      <c r="A265" s="15">
        <v>6854</v>
      </c>
      <c r="B265" s="10" t="s">
        <v>35</v>
      </c>
      <c r="C265" s="3" t="s">
        <v>24</v>
      </c>
      <c r="E265" s="3" t="s">
        <v>24</v>
      </c>
      <c r="G265" s="117" t="s">
        <v>53</v>
      </c>
      <c r="J265" s="115" t="s">
        <v>129</v>
      </c>
      <c r="K265" s="105"/>
      <c r="L265" s="50" t="s">
        <v>26</v>
      </c>
      <c r="M265" s="15" t="s">
        <v>235</v>
      </c>
      <c r="N265" s="10" t="s">
        <v>35</v>
      </c>
      <c r="O265" s="3" t="s">
        <v>24</v>
      </c>
      <c r="Q265" s="3" t="s">
        <v>24</v>
      </c>
      <c r="S265" s="1" t="s">
        <v>25</v>
      </c>
      <c r="T265" s="1" t="s">
        <v>27</v>
      </c>
      <c r="U265" s="106">
        <v>45153</v>
      </c>
      <c r="W265" s="23" t="s">
        <v>129</v>
      </c>
      <c r="Y265" s="10"/>
    </row>
    <row r="266" spans="1:26">
      <c r="A266" s="15">
        <v>6855</v>
      </c>
      <c r="B266" s="10" t="s">
        <v>35</v>
      </c>
      <c r="C266" s="3" t="s">
        <v>24</v>
      </c>
      <c r="E266" s="4" t="s">
        <v>29</v>
      </c>
      <c r="G266" s="117" t="s">
        <v>53</v>
      </c>
      <c r="J266" s="115"/>
      <c r="K266" s="105"/>
      <c r="L266" s="50" t="s">
        <v>26</v>
      </c>
      <c r="M266" s="15" t="s">
        <v>236</v>
      </c>
      <c r="N266" s="10" t="s">
        <v>35</v>
      </c>
      <c r="S266" s="1" t="s">
        <v>25</v>
      </c>
      <c r="T266" s="1" t="s">
        <v>31</v>
      </c>
      <c r="X266" s="11" t="s">
        <v>237</v>
      </c>
      <c r="Y266" s="10" t="s">
        <v>35</v>
      </c>
      <c r="Z266" s="4" t="s">
        <v>29</v>
      </c>
    </row>
    <row r="267" spans="1:26">
      <c r="A267" s="21">
        <v>6442</v>
      </c>
      <c r="B267" s="10" t="s">
        <v>35</v>
      </c>
      <c r="C267" s="3" t="s">
        <v>24</v>
      </c>
      <c r="E267" s="3" t="s">
        <v>24</v>
      </c>
      <c r="G267" s="51" t="s">
        <v>25</v>
      </c>
      <c r="J267" s="115"/>
      <c r="K267" s="105"/>
      <c r="L267" s="50" t="s">
        <v>238</v>
      </c>
      <c r="N267" s="10"/>
      <c r="Y267" s="10"/>
    </row>
    <row r="268" spans="1:26">
      <c r="A268" s="21">
        <v>6193</v>
      </c>
      <c r="B268" s="10" t="s">
        <v>35</v>
      </c>
      <c r="C268" s="4" t="s">
        <v>29</v>
      </c>
      <c r="E268" s="4" t="s">
        <v>29</v>
      </c>
      <c r="G268" s="51" t="s">
        <v>25</v>
      </c>
      <c r="J268" s="115"/>
      <c r="K268" s="105"/>
      <c r="L268" s="50" t="s">
        <v>238</v>
      </c>
      <c r="N268" s="10"/>
    </row>
    <row r="269" spans="1:26">
      <c r="A269" s="21">
        <v>6163</v>
      </c>
      <c r="B269" s="10" t="s">
        <v>35</v>
      </c>
      <c r="C269" s="4" t="s">
        <v>29</v>
      </c>
      <c r="G269" s="51" t="s">
        <v>25</v>
      </c>
      <c r="J269" s="115"/>
      <c r="K269" s="105"/>
      <c r="L269" s="50" t="s">
        <v>238</v>
      </c>
      <c r="N269" s="10"/>
    </row>
    <row r="270" spans="1:26">
      <c r="A270" s="21">
        <v>6836</v>
      </c>
      <c r="B270" s="10" t="s">
        <v>35</v>
      </c>
      <c r="C270" s="4" t="s">
        <v>29</v>
      </c>
      <c r="G270" s="51" t="s">
        <v>25</v>
      </c>
      <c r="J270" s="115"/>
      <c r="K270" s="105"/>
      <c r="L270" s="50" t="s">
        <v>238</v>
      </c>
      <c r="N270" s="10"/>
    </row>
    <row r="271" spans="1:26">
      <c r="A271" s="21">
        <v>6780</v>
      </c>
      <c r="B271" s="10" t="s">
        <v>35</v>
      </c>
      <c r="C271" s="3" t="s">
        <v>24</v>
      </c>
      <c r="G271" s="51" t="s">
        <v>25</v>
      </c>
      <c r="J271" s="115"/>
      <c r="K271" s="105"/>
      <c r="L271" s="50" t="s">
        <v>238</v>
      </c>
      <c r="N271" s="10"/>
    </row>
    <row r="272" spans="1:26">
      <c r="A272" s="22">
        <v>6564</v>
      </c>
      <c r="B272" s="10" t="s">
        <v>35</v>
      </c>
      <c r="C272" s="4" t="s">
        <v>29</v>
      </c>
      <c r="G272" s="51" t="s">
        <v>25</v>
      </c>
      <c r="J272" s="115"/>
      <c r="K272" s="105"/>
      <c r="L272" s="50" t="s">
        <v>238</v>
      </c>
      <c r="N272" s="10"/>
    </row>
    <row r="273" spans="1:28">
      <c r="A273" s="21">
        <v>6681</v>
      </c>
      <c r="B273" s="10" t="s">
        <v>35</v>
      </c>
      <c r="C273" s="3" t="s">
        <v>24</v>
      </c>
      <c r="G273" s="51" t="s">
        <v>53</v>
      </c>
      <c r="J273" s="115">
        <v>45149</v>
      </c>
      <c r="K273" s="105"/>
      <c r="L273" s="50" t="s">
        <v>26</v>
      </c>
      <c r="M273" s="15" t="s">
        <v>239</v>
      </c>
      <c r="N273" s="10" t="s">
        <v>35</v>
      </c>
      <c r="O273" s="3" t="s">
        <v>24</v>
      </c>
      <c r="S273" s="1" t="s">
        <v>25</v>
      </c>
      <c r="T273" s="1" t="s">
        <v>31</v>
      </c>
      <c r="U273" s="106">
        <v>45153</v>
      </c>
      <c r="W273" s="115">
        <v>45149</v>
      </c>
    </row>
    <row r="274" spans="1:28">
      <c r="A274" s="21">
        <v>6368</v>
      </c>
      <c r="B274" s="10" t="s">
        <v>35</v>
      </c>
      <c r="C274" s="4" t="s">
        <v>29</v>
      </c>
      <c r="E274" s="3" t="s">
        <v>24</v>
      </c>
      <c r="G274" s="51" t="s">
        <v>53</v>
      </c>
      <c r="J274" s="115" t="s">
        <v>240</v>
      </c>
      <c r="K274" s="105"/>
      <c r="L274" s="50" t="s">
        <v>26</v>
      </c>
      <c r="M274" s="15" t="s">
        <v>241</v>
      </c>
      <c r="N274" s="10" t="s">
        <v>35</v>
      </c>
      <c r="O274" s="3" t="s">
        <v>24</v>
      </c>
      <c r="S274" s="1" t="s">
        <v>25</v>
      </c>
      <c r="T274" s="1" t="s">
        <v>27</v>
      </c>
      <c r="U274" s="106">
        <v>45166</v>
      </c>
      <c r="W274" s="23" t="s">
        <v>240</v>
      </c>
    </row>
    <row r="275" spans="1:28">
      <c r="A275" s="21">
        <v>6853</v>
      </c>
      <c r="B275" s="10" t="s">
        <v>35</v>
      </c>
      <c r="C275" s="3" t="s">
        <v>24</v>
      </c>
      <c r="E275" s="4" t="s">
        <v>29</v>
      </c>
      <c r="G275" s="51" t="s">
        <v>53</v>
      </c>
      <c r="J275" s="115" t="s">
        <v>139</v>
      </c>
      <c r="K275" s="105"/>
      <c r="L275" s="50" t="s">
        <v>26</v>
      </c>
      <c r="M275" s="15" t="s">
        <v>242</v>
      </c>
      <c r="N275" s="10" t="s">
        <v>35</v>
      </c>
      <c r="O275" s="3" t="s">
        <v>24</v>
      </c>
      <c r="Q275" s="3" t="s">
        <v>24</v>
      </c>
      <c r="T275" s="1" t="s">
        <v>27</v>
      </c>
      <c r="U275" s="106">
        <v>45166</v>
      </c>
      <c r="W275" s="23" t="s">
        <v>139</v>
      </c>
    </row>
    <row r="276" spans="1:28">
      <c r="A276" s="21">
        <v>6679</v>
      </c>
      <c r="B276" s="10" t="s">
        <v>35</v>
      </c>
      <c r="C276" s="3" t="s">
        <v>24</v>
      </c>
      <c r="G276" s="51" t="s">
        <v>53</v>
      </c>
      <c r="J276" s="115" t="s">
        <v>156</v>
      </c>
      <c r="K276" s="105"/>
      <c r="L276" s="50" t="s">
        <v>26</v>
      </c>
      <c r="M276" s="21" t="s">
        <v>243</v>
      </c>
      <c r="N276" s="10" t="s">
        <v>35</v>
      </c>
      <c r="O276" s="3" t="s">
        <v>24</v>
      </c>
      <c r="T276" s="1" t="s">
        <v>31</v>
      </c>
      <c r="U276" s="106">
        <v>45160</v>
      </c>
      <c r="W276" s="23" t="s">
        <v>156</v>
      </c>
    </row>
    <row r="277" spans="1:28">
      <c r="A277" s="22">
        <v>6269</v>
      </c>
      <c r="B277" s="10" t="s">
        <v>35</v>
      </c>
      <c r="C277" s="6" t="s">
        <v>46</v>
      </c>
      <c r="E277" s="4" t="s">
        <v>29</v>
      </c>
      <c r="G277" s="51" t="s">
        <v>53</v>
      </c>
      <c r="J277" s="115" t="s">
        <v>150</v>
      </c>
      <c r="K277" s="105"/>
      <c r="L277" s="50" t="s">
        <v>26</v>
      </c>
      <c r="M277" s="15" t="s">
        <v>244</v>
      </c>
      <c r="N277" s="10" t="s">
        <v>35</v>
      </c>
      <c r="O277" s="4" t="s">
        <v>29</v>
      </c>
      <c r="Q277" s="4" t="s">
        <v>29</v>
      </c>
      <c r="S277" s="1" t="s">
        <v>25</v>
      </c>
      <c r="T277" s="1" t="s">
        <v>27</v>
      </c>
      <c r="U277" s="106">
        <v>45160</v>
      </c>
      <c r="W277" s="23" t="s">
        <v>150</v>
      </c>
    </row>
    <row r="278" spans="1:28">
      <c r="A278" s="160">
        <v>5752</v>
      </c>
      <c r="B278" s="159" t="s">
        <v>35</v>
      </c>
      <c r="C278" s="166"/>
      <c r="D278" s="166"/>
      <c r="E278" s="166"/>
      <c r="F278" s="166"/>
      <c r="G278" s="167"/>
      <c r="H278" s="168"/>
      <c r="I278" s="168"/>
      <c r="J278" s="115">
        <v>45147</v>
      </c>
      <c r="K278" s="105"/>
      <c r="L278" s="169" t="s">
        <v>26</v>
      </c>
      <c r="M278" s="122" t="s">
        <v>245</v>
      </c>
      <c r="N278" s="10" t="s">
        <v>35</v>
      </c>
      <c r="O278" s="3" t="s">
        <v>24</v>
      </c>
      <c r="S278" s="1" t="s">
        <v>25</v>
      </c>
      <c r="T278" s="1" t="s">
        <v>27</v>
      </c>
      <c r="U278" s="106">
        <v>45153</v>
      </c>
      <c r="W278" s="115">
        <v>45147</v>
      </c>
    </row>
    <row r="279" spans="1:28">
      <c r="A279" s="160"/>
      <c r="B279" s="159"/>
      <c r="C279" s="166"/>
      <c r="D279" s="166"/>
      <c r="E279" s="166"/>
      <c r="F279" s="166"/>
      <c r="G279" s="167"/>
      <c r="H279" s="168"/>
      <c r="I279" s="168"/>
      <c r="J279" s="115">
        <v>45147</v>
      </c>
      <c r="K279" s="105"/>
      <c r="L279" s="169"/>
      <c r="M279" s="122" t="s">
        <v>246</v>
      </c>
      <c r="N279" s="10" t="s">
        <v>35</v>
      </c>
      <c r="O279" s="3" t="s">
        <v>24</v>
      </c>
      <c r="Q279" s="3" t="s">
        <v>24</v>
      </c>
      <c r="S279" s="1" t="s">
        <v>25</v>
      </c>
      <c r="T279" s="1" t="s">
        <v>27</v>
      </c>
      <c r="U279" s="106">
        <v>45153</v>
      </c>
      <c r="W279" s="115">
        <v>45147</v>
      </c>
    </row>
    <row r="280" spans="1:28">
      <c r="A280" s="11">
        <v>6642</v>
      </c>
      <c r="B280" s="10" t="s">
        <v>35</v>
      </c>
      <c r="C280" s="4" t="s">
        <v>29</v>
      </c>
      <c r="E280" s="4" t="s">
        <v>29</v>
      </c>
      <c r="G280" s="51" t="s">
        <v>53</v>
      </c>
      <c r="J280" s="115" t="s">
        <v>233</v>
      </c>
      <c r="K280" s="105"/>
      <c r="L280" s="50" t="s">
        <v>26</v>
      </c>
      <c r="M280" s="11" t="s">
        <v>247</v>
      </c>
      <c r="N280" s="10"/>
      <c r="O280" s="3" t="s">
        <v>24</v>
      </c>
      <c r="S280" s="1" t="s">
        <v>25</v>
      </c>
      <c r="T280" s="1" t="s">
        <v>27</v>
      </c>
      <c r="W280" s="23" t="s">
        <v>233</v>
      </c>
    </row>
    <row r="281" spans="1:28" s="19" customFormat="1">
      <c r="A281" s="17"/>
      <c r="B281" s="17"/>
      <c r="C281" s="108"/>
      <c r="D281" s="108"/>
      <c r="E281" s="108"/>
      <c r="F281" s="108"/>
      <c r="G281" s="109"/>
      <c r="H281" s="108"/>
      <c r="I281" s="108"/>
      <c r="J281" s="110"/>
      <c r="K281" s="110"/>
      <c r="L281" s="111"/>
      <c r="M281" s="17"/>
      <c r="N281" s="18"/>
      <c r="O281" s="108"/>
      <c r="P281" s="108"/>
      <c r="Q281" s="108"/>
      <c r="R281" s="108"/>
      <c r="S281" s="108"/>
      <c r="T281" s="108"/>
      <c r="U281" s="108"/>
      <c r="V281" s="108"/>
      <c r="W281" s="112"/>
      <c r="X281" s="17"/>
      <c r="Y281" s="17"/>
      <c r="Z281" s="108"/>
      <c r="AA281" s="108"/>
      <c r="AB281" s="108"/>
    </row>
    <row r="282" spans="1:28">
      <c r="A282" s="98">
        <v>61</v>
      </c>
      <c r="B282" s="134" t="s">
        <v>248</v>
      </c>
      <c r="C282" s="3" t="s">
        <v>24</v>
      </c>
      <c r="D282" s="113"/>
      <c r="G282" s="52" t="s">
        <v>25</v>
      </c>
      <c r="J282" s="105"/>
      <c r="K282" s="105"/>
      <c r="N282" s="10"/>
    </row>
    <row r="283" spans="1:28">
      <c r="A283" s="98">
        <v>101</v>
      </c>
      <c r="B283" s="134" t="s">
        <v>248</v>
      </c>
      <c r="C283" s="3" t="s">
        <v>24</v>
      </c>
      <c r="D283" s="113"/>
      <c r="G283" s="52" t="s">
        <v>25</v>
      </c>
      <c r="J283" s="105"/>
      <c r="K283" s="105"/>
      <c r="N283" s="10"/>
    </row>
    <row r="284" spans="1:28">
      <c r="A284" s="98">
        <v>102</v>
      </c>
      <c r="B284" s="134" t="s">
        <v>248</v>
      </c>
      <c r="C284" s="3" t="s">
        <v>24</v>
      </c>
      <c r="D284" s="113"/>
      <c r="G284" s="52" t="s">
        <v>25</v>
      </c>
      <c r="J284" s="105"/>
      <c r="K284" s="105"/>
      <c r="N284" s="10"/>
    </row>
    <row r="285" spans="1:28">
      <c r="A285" s="98">
        <v>103</v>
      </c>
      <c r="B285" s="134" t="s">
        <v>248</v>
      </c>
      <c r="C285" s="3" t="s">
        <v>24</v>
      </c>
      <c r="D285" s="113"/>
      <c r="G285" s="52" t="s">
        <v>25</v>
      </c>
      <c r="J285" s="105"/>
      <c r="K285" s="105"/>
      <c r="N285" s="10"/>
    </row>
    <row r="286" spans="1:28">
      <c r="A286" s="98">
        <v>105</v>
      </c>
      <c r="B286" s="134" t="s">
        <v>248</v>
      </c>
      <c r="C286" s="3" t="s">
        <v>24</v>
      </c>
      <c r="D286" s="113"/>
      <c r="G286" s="52" t="s">
        <v>25</v>
      </c>
      <c r="J286" s="105"/>
      <c r="K286" s="105"/>
      <c r="N286" s="10"/>
    </row>
    <row r="287" spans="1:28">
      <c r="A287" s="98">
        <v>106</v>
      </c>
      <c r="B287" s="134" t="s">
        <v>248</v>
      </c>
      <c r="C287" s="3" t="s">
        <v>24</v>
      </c>
      <c r="D287" s="113"/>
      <c r="G287" s="52" t="s">
        <v>25</v>
      </c>
      <c r="J287" s="105"/>
      <c r="K287" s="105"/>
      <c r="N287" s="10"/>
    </row>
    <row r="288" spans="1:28">
      <c r="A288" s="98">
        <v>107</v>
      </c>
      <c r="B288" s="134" t="s">
        <v>248</v>
      </c>
      <c r="C288" s="3" t="s">
        <v>24</v>
      </c>
      <c r="D288" s="113"/>
      <c r="G288" s="52" t="s">
        <v>25</v>
      </c>
      <c r="J288" s="105"/>
      <c r="K288" s="105"/>
      <c r="N288" s="10"/>
    </row>
    <row r="289" spans="1:14">
      <c r="A289" s="98">
        <v>108</v>
      </c>
      <c r="B289" s="134" t="s">
        <v>248</v>
      </c>
      <c r="C289" s="3" t="s">
        <v>24</v>
      </c>
      <c r="D289" s="113"/>
      <c r="G289" s="52" t="s">
        <v>25</v>
      </c>
      <c r="J289" s="105"/>
      <c r="K289" s="105"/>
      <c r="N289" s="10"/>
    </row>
    <row r="290" spans="1:14">
      <c r="A290" s="98">
        <v>110</v>
      </c>
      <c r="B290" s="134" t="s">
        <v>248</v>
      </c>
      <c r="C290" s="3" t="s">
        <v>24</v>
      </c>
      <c r="D290" s="113"/>
      <c r="G290" s="52" t="s">
        <v>25</v>
      </c>
      <c r="J290" s="105"/>
      <c r="K290" s="105"/>
      <c r="N290" s="10"/>
    </row>
    <row r="291" spans="1:14">
      <c r="A291" s="98">
        <v>111</v>
      </c>
      <c r="B291" s="134" t="s">
        <v>248</v>
      </c>
      <c r="C291" s="3" t="s">
        <v>24</v>
      </c>
      <c r="D291" s="113"/>
      <c r="G291" s="52" t="s">
        <v>25</v>
      </c>
      <c r="J291" s="105"/>
      <c r="K291" s="105"/>
      <c r="N291" s="10"/>
    </row>
    <row r="292" spans="1:14">
      <c r="A292" s="98">
        <v>112</v>
      </c>
      <c r="B292" s="134" t="s">
        <v>248</v>
      </c>
      <c r="C292" s="3" t="s">
        <v>24</v>
      </c>
      <c r="D292" s="113"/>
      <c r="G292" s="52" t="s">
        <v>25</v>
      </c>
      <c r="J292" s="105"/>
      <c r="K292" s="105"/>
      <c r="N292" s="10"/>
    </row>
    <row r="293" spans="1:14">
      <c r="A293" s="98">
        <v>113</v>
      </c>
      <c r="B293" s="134" t="s">
        <v>248</v>
      </c>
      <c r="C293" s="3" t="s">
        <v>24</v>
      </c>
      <c r="D293" s="113"/>
      <c r="G293" s="52" t="s">
        <v>25</v>
      </c>
      <c r="J293" s="105"/>
      <c r="K293" s="105"/>
      <c r="N293" s="10"/>
    </row>
    <row r="294" spans="1:14">
      <c r="A294" s="98">
        <v>114</v>
      </c>
      <c r="B294" s="134" t="s">
        <v>248</v>
      </c>
      <c r="C294" s="3" t="s">
        <v>24</v>
      </c>
      <c r="D294" s="113"/>
      <c r="G294" s="52" t="s">
        <v>25</v>
      </c>
      <c r="J294" s="105"/>
      <c r="K294" s="105"/>
      <c r="N294" s="10"/>
    </row>
    <row r="295" spans="1:14">
      <c r="A295" s="98">
        <v>115</v>
      </c>
      <c r="B295" s="134" t="s">
        <v>248</v>
      </c>
      <c r="C295" s="3" t="s">
        <v>24</v>
      </c>
      <c r="D295" s="113"/>
      <c r="G295" s="52" t="s">
        <v>25</v>
      </c>
      <c r="J295" s="105"/>
      <c r="K295" s="105"/>
      <c r="N295" s="10"/>
    </row>
    <row r="296" spans="1:14">
      <c r="A296" s="98">
        <v>116</v>
      </c>
      <c r="B296" s="134" t="s">
        <v>248</v>
      </c>
      <c r="C296" s="3" t="s">
        <v>24</v>
      </c>
      <c r="D296" s="113"/>
      <c r="G296" s="52" t="s">
        <v>25</v>
      </c>
      <c r="J296" s="105"/>
      <c r="K296" s="105"/>
      <c r="N296" s="10"/>
    </row>
    <row r="297" spans="1:14">
      <c r="A297" s="98">
        <v>117</v>
      </c>
      <c r="B297" s="134" t="s">
        <v>248</v>
      </c>
      <c r="C297" s="3" t="s">
        <v>24</v>
      </c>
      <c r="D297" s="113"/>
      <c r="G297" s="52" t="s">
        <v>25</v>
      </c>
      <c r="J297" s="105"/>
      <c r="K297" s="105"/>
      <c r="N297" s="10"/>
    </row>
    <row r="298" spans="1:14">
      <c r="A298" s="98">
        <v>118</v>
      </c>
      <c r="B298" s="134" t="s">
        <v>248</v>
      </c>
      <c r="C298" s="3" t="s">
        <v>24</v>
      </c>
      <c r="D298" s="113"/>
      <c r="G298" s="52" t="s">
        <v>25</v>
      </c>
      <c r="J298" s="105"/>
      <c r="K298" s="105"/>
      <c r="N298" s="10"/>
    </row>
    <row r="299" spans="1:14">
      <c r="A299" s="98">
        <v>119</v>
      </c>
      <c r="B299" s="134" t="s">
        <v>248</v>
      </c>
      <c r="C299" s="3" t="s">
        <v>24</v>
      </c>
      <c r="D299" s="113"/>
      <c r="G299" s="52" t="s">
        <v>25</v>
      </c>
      <c r="J299" s="105"/>
      <c r="K299" s="105"/>
      <c r="N299" s="10"/>
    </row>
    <row r="300" spans="1:14">
      <c r="A300" s="98">
        <v>135</v>
      </c>
      <c r="B300" s="134" t="s">
        <v>248</v>
      </c>
      <c r="C300" s="3" t="s">
        <v>24</v>
      </c>
      <c r="D300" s="113"/>
      <c r="G300" s="52" t="s">
        <v>25</v>
      </c>
      <c r="J300" s="105"/>
      <c r="K300" s="105"/>
      <c r="N300" s="10"/>
    </row>
    <row r="301" spans="1:14">
      <c r="A301" s="98">
        <v>146</v>
      </c>
      <c r="B301" s="134" t="s">
        <v>248</v>
      </c>
      <c r="C301" s="3" t="s">
        <v>24</v>
      </c>
      <c r="D301" s="113"/>
      <c r="G301" s="52" t="s">
        <v>25</v>
      </c>
      <c r="J301" s="105"/>
      <c r="K301" s="105"/>
      <c r="N301" s="10"/>
    </row>
    <row r="302" spans="1:14">
      <c r="A302" s="98">
        <v>148</v>
      </c>
      <c r="B302" s="134" t="s">
        <v>248</v>
      </c>
      <c r="C302" s="3" t="s">
        <v>24</v>
      </c>
      <c r="D302" s="113"/>
      <c r="G302" s="52" t="s">
        <v>25</v>
      </c>
      <c r="J302" s="105"/>
      <c r="K302" s="105"/>
      <c r="N302" s="10"/>
    </row>
    <row r="303" spans="1:14">
      <c r="A303" s="98">
        <v>149</v>
      </c>
      <c r="B303" s="134" t="s">
        <v>248</v>
      </c>
      <c r="C303" s="3" t="s">
        <v>24</v>
      </c>
      <c r="D303" s="113"/>
      <c r="G303" s="52" t="s">
        <v>25</v>
      </c>
      <c r="J303" s="105"/>
      <c r="K303" s="105"/>
      <c r="N303" s="10"/>
    </row>
    <row r="304" spans="1:14">
      <c r="A304" s="98">
        <v>154</v>
      </c>
      <c r="B304" s="134" t="s">
        <v>248</v>
      </c>
      <c r="C304" s="3" t="s">
        <v>24</v>
      </c>
      <c r="D304" s="113"/>
      <c r="G304" s="52" t="s">
        <v>25</v>
      </c>
      <c r="J304" s="105"/>
      <c r="K304" s="105"/>
      <c r="N304" s="10"/>
    </row>
    <row r="305" spans="1:28">
      <c r="A305" s="98">
        <v>156</v>
      </c>
      <c r="B305" s="134" t="s">
        <v>248</v>
      </c>
      <c r="C305" s="3" t="s">
        <v>24</v>
      </c>
      <c r="D305" s="113"/>
      <c r="G305" s="52" t="s">
        <v>25</v>
      </c>
      <c r="J305" s="105"/>
      <c r="K305" s="105"/>
      <c r="N305" s="10"/>
    </row>
    <row r="306" spans="1:28">
      <c r="A306" s="98">
        <v>161</v>
      </c>
      <c r="B306" s="134" t="s">
        <v>248</v>
      </c>
      <c r="C306" s="3" t="s">
        <v>24</v>
      </c>
      <c r="D306" s="113"/>
      <c r="G306" s="52" t="s">
        <v>25</v>
      </c>
      <c r="J306" s="105"/>
      <c r="K306" s="105"/>
      <c r="N306" s="10"/>
    </row>
    <row r="307" spans="1:28">
      <c r="A307" s="98">
        <v>163</v>
      </c>
      <c r="B307" s="134" t="s">
        <v>248</v>
      </c>
      <c r="C307" s="3" t="s">
        <v>24</v>
      </c>
      <c r="D307" s="113"/>
      <c r="G307" s="52" t="s">
        <v>25</v>
      </c>
      <c r="J307" s="105"/>
      <c r="K307" s="105"/>
      <c r="N307" s="10"/>
    </row>
    <row r="308" spans="1:28">
      <c r="A308" s="98">
        <v>166</v>
      </c>
      <c r="B308" s="134" t="s">
        <v>248</v>
      </c>
      <c r="C308" s="3" t="s">
        <v>24</v>
      </c>
      <c r="D308" s="113"/>
      <c r="G308" s="52" t="s">
        <v>25</v>
      </c>
      <c r="J308" s="105"/>
      <c r="K308" s="105"/>
      <c r="N308" s="10"/>
    </row>
    <row r="309" spans="1:28">
      <c r="A309" s="98">
        <v>302</v>
      </c>
      <c r="B309" s="134" t="s">
        <v>248</v>
      </c>
      <c r="C309" s="3" t="s">
        <v>24</v>
      </c>
      <c r="D309" s="113"/>
      <c r="G309" s="52" t="s">
        <v>25</v>
      </c>
      <c r="J309" s="105"/>
      <c r="K309" s="105"/>
      <c r="N309" s="10"/>
    </row>
    <row r="310" spans="1:28">
      <c r="A310" s="98">
        <v>303</v>
      </c>
      <c r="B310" s="134" t="s">
        <v>248</v>
      </c>
      <c r="C310" s="3" t="s">
        <v>24</v>
      </c>
      <c r="D310" s="113"/>
      <c r="G310" s="52" t="s">
        <v>25</v>
      </c>
      <c r="J310" s="105"/>
      <c r="K310" s="105"/>
      <c r="N310" s="10"/>
    </row>
    <row r="311" spans="1:28">
      <c r="A311" s="98">
        <v>783</v>
      </c>
      <c r="B311" s="134" t="s">
        <v>248</v>
      </c>
      <c r="C311" s="3" t="s">
        <v>24</v>
      </c>
      <c r="D311" s="113"/>
      <c r="G311" s="52" t="s">
        <v>25</v>
      </c>
      <c r="J311" s="105"/>
      <c r="K311" s="105"/>
      <c r="N311" s="10"/>
    </row>
    <row r="312" spans="1:28">
      <c r="A312" s="98" t="s">
        <v>249</v>
      </c>
      <c r="B312" s="134" t="s">
        <v>248</v>
      </c>
      <c r="C312" s="3" t="s">
        <v>24</v>
      </c>
      <c r="D312" s="113"/>
      <c r="G312" s="52" t="s">
        <v>25</v>
      </c>
      <c r="J312" s="105"/>
      <c r="K312" s="105"/>
      <c r="N312" s="10"/>
    </row>
    <row r="313" spans="1:28">
      <c r="A313" s="98">
        <v>165</v>
      </c>
      <c r="B313" s="134" t="s">
        <v>248</v>
      </c>
      <c r="C313" s="3" t="s">
        <v>24</v>
      </c>
      <c r="D313" s="113"/>
      <c r="G313" s="52" t="s">
        <v>25</v>
      </c>
      <c r="J313" s="105"/>
      <c r="K313" s="105"/>
      <c r="N313" s="10"/>
    </row>
    <row r="314" spans="1:28">
      <c r="A314" s="17"/>
      <c r="B314" s="17"/>
      <c r="C314" s="108"/>
      <c r="D314" s="108"/>
      <c r="E314" s="108"/>
      <c r="F314" s="108"/>
      <c r="G314" s="109"/>
      <c r="H314" s="108"/>
      <c r="I314" s="108"/>
      <c r="J314" s="110"/>
      <c r="K314" s="110"/>
      <c r="L314" s="111"/>
      <c r="M314" s="17"/>
      <c r="N314" s="18"/>
      <c r="O314" s="108"/>
      <c r="P314" s="108"/>
      <c r="Q314" s="108"/>
      <c r="R314" s="108"/>
      <c r="S314" s="108"/>
      <c r="T314" s="108"/>
      <c r="U314" s="108"/>
      <c r="V314" s="108"/>
      <c r="W314" s="112"/>
      <c r="X314" s="17"/>
      <c r="Y314" s="17"/>
      <c r="Z314" s="108"/>
      <c r="AA314" s="108"/>
      <c r="AB314" s="108"/>
    </row>
    <row r="315" spans="1:28">
      <c r="A315" s="33" t="s">
        <v>250</v>
      </c>
      <c r="B315" s="31" t="s">
        <v>251</v>
      </c>
      <c r="C315" s="3" t="s">
        <v>24</v>
      </c>
      <c r="D315" s="26"/>
      <c r="E315" s="3" t="s">
        <v>24</v>
      </c>
      <c r="F315" s="26"/>
      <c r="G315" s="53" t="s">
        <v>53</v>
      </c>
      <c r="H315" s="27"/>
      <c r="I315" s="28"/>
      <c r="J315" s="99"/>
      <c r="K315" s="99"/>
      <c r="L315" s="50" t="s">
        <v>26</v>
      </c>
      <c r="M315" s="34">
        <v>2</v>
      </c>
      <c r="N315" s="31" t="s">
        <v>251</v>
      </c>
      <c r="O315" s="4" t="s">
        <v>29</v>
      </c>
      <c r="P315" s="30"/>
      <c r="Q315" s="30"/>
      <c r="R315" s="30"/>
      <c r="S315" s="28" t="s">
        <v>25</v>
      </c>
      <c r="T315" s="27"/>
      <c r="U315" s="28">
        <v>45044</v>
      </c>
      <c r="V315" s="27"/>
      <c r="W315" s="27" t="s">
        <v>252</v>
      </c>
      <c r="X315" s="36"/>
      <c r="Y315" s="10"/>
      <c r="Z315" s="113"/>
      <c r="AA315" s="113"/>
      <c r="AB315" s="113"/>
    </row>
    <row r="316" spans="1:28">
      <c r="A316" s="34">
        <v>5</v>
      </c>
      <c r="B316" s="31" t="s">
        <v>251</v>
      </c>
      <c r="C316" s="27"/>
      <c r="D316" s="30"/>
      <c r="E316" s="3" t="s">
        <v>24</v>
      </c>
      <c r="F316" s="30"/>
      <c r="G316" s="53" t="s">
        <v>53</v>
      </c>
      <c r="H316" s="27"/>
      <c r="I316" s="27"/>
      <c r="J316" s="99"/>
      <c r="K316" s="99"/>
      <c r="L316" s="50" t="s">
        <v>26</v>
      </c>
      <c r="M316" s="33" t="s">
        <v>253</v>
      </c>
      <c r="N316" s="31" t="s">
        <v>251</v>
      </c>
      <c r="O316" s="3" t="s">
        <v>24</v>
      </c>
      <c r="P316" s="26"/>
      <c r="Q316" s="26"/>
      <c r="R316" s="26"/>
      <c r="S316" s="28" t="s">
        <v>25</v>
      </c>
      <c r="T316" s="27"/>
      <c r="U316" s="28">
        <v>45044</v>
      </c>
      <c r="V316" s="27"/>
      <c r="W316" s="27" t="s">
        <v>252</v>
      </c>
      <c r="X316" s="36" t="s">
        <v>254</v>
      </c>
      <c r="Y316" s="10" t="s">
        <v>251</v>
      </c>
      <c r="Z316" s="4" t="s">
        <v>29</v>
      </c>
      <c r="AA316" s="113"/>
      <c r="AB316" s="113"/>
    </row>
    <row r="317" spans="1:28">
      <c r="A317" s="34">
        <v>6</v>
      </c>
      <c r="B317" s="31" t="s">
        <v>251</v>
      </c>
      <c r="C317" s="3" t="s">
        <v>24</v>
      </c>
      <c r="D317" s="30"/>
      <c r="E317" s="3" t="s">
        <v>24</v>
      </c>
      <c r="F317" s="30"/>
      <c r="G317" s="53" t="s">
        <v>53</v>
      </c>
      <c r="H317" s="27"/>
      <c r="I317" s="27"/>
      <c r="J317" s="99"/>
      <c r="K317" s="99"/>
      <c r="L317" s="50" t="s">
        <v>26</v>
      </c>
      <c r="M317" s="33" t="s">
        <v>255</v>
      </c>
      <c r="N317" s="31" t="s">
        <v>251</v>
      </c>
      <c r="O317" s="4" t="s">
        <v>29</v>
      </c>
      <c r="P317" s="26"/>
      <c r="Q317" s="26"/>
      <c r="R317" s="26"/>
      <c r="S317" s="28" t="s">
        <v>25</v>
      </c>
      <c r="T317" s="27"/>
      <c r="U317" s="28">
        <v>45051</v>
      </c>
      <c r="V317" s="27"/>
      <c r="W317" s="27"/>
      <c r="X317" s="36"/>
      <c r="Y317" s="10"/>
      <c r="Z317" s="113"/>
      <c r="AA317" s="113"/>
      <c r="AB317" s="113"/>
    </row>
    <row r="318" spans="1:28">
      <c r="A318" s="33" t="s">
        <v>256</v>
      </c>
      <c r="B318" s="31" t="s">
        <v>251</v>
      </c>
      <c r="C318" s="29"/>
      <c r="D318" s="26"/>
      <c r="E318" s="3" t="s">
        <v>24</v>
      </c>
      <c r="F318" s="26"/>
      <c r="G318" s="53" t="s">
        <v>53</v>
      </c>
      <c r="H318" s="27"/>
      <c r="I318" s="27"/>
      <c r="J318" s="99"/>
      <c r="K318" s="99"/>
      <c r="L318" s="50" t="s">
        <v>26</v>
      </c>
      <c r="M318" s="34">
        <v>7</v>
      </c>
      <c r="N318" s="31" t="s">
        <v>251</v>
      </c>
      <c r="O318" s="3" t="s">
        <v>24</v>
      </c>
      <c r="P318" s="30"/>
      <c r="Q318" s="30"/>
      <c r="R318" s="30"/>
      <c r="S318" s="28" t="s">
        <v>25</v>
      </c>
      <c r="T318" s="27"/>
      <c r="U318" s="28">
        <v>45027</v>
      </c>
      <c r="V318" s="27"/>
      <c r="W318" s="27"/>
      <c r="X318" s="36"/>
      <c r="Y318" s="10"/>
      <c r="Z318" s="113"/>
      <c r="AA318" s="113"/>
      <c r="AB318" s="113"/>
    </row>
    <row r="319" spans="1:28">
      <c r="A319" s="34">
        <v>21</v>
      </c>
      <c r="B319" s="31" t="s">
        <v>251</v>
      </c>
      <c r="C319" s="4" t="s">
        <v>29</v>
      </c>
      <c r="D319" s="30"/>
      <c r="E319" s="4" t="s">
        <v>29</v>
      </c>
      <c r="F319" s="30"/>
      <c r="G319" s="53" t="s">
        <v>53</v>
      </c>
      <c r="H319" s="27"/>
      <c r="I319" s="28"/>
      <c r="J319" s="99"/>
      <c r="K319" s="99"/>
      <c r="L319" s="50" t="s">
        <v>26</v>
      </c>
      <c r="M319" s="34">
        <v>21</v>
      </c>
      <c r="N319" s="31" t="s">
        <v>251</v>
      </c>
      <c r="O319" s="4" t="s">
        <v>29</v>
      </c>
      <c r="P319" s="30"/>
      <c r="Q319" s="30"/>
      <c r="R319" s="30"/>
      <c r="S319" s="28" t="s">
        <v>25</v>
      </c>
      <c r="T319" s="27"/>
      <c r="U319" s="28">
        <v>45019</v>
      </c>
      <c r="V319" s="27"/>
      <c r="W319" s="28">
        <v>45013</v>
      </c>
      <c r="X319" s="36"/>
      <c r="Y319" s="10"/>
      <c r="Z319" s="113"/>
      <c r="AA319" s="113"/>
      <c r="AB319" s="113"/>
    </row>
    <row r="320" spans="1:28">
      <c r="A320" s="34">
        <v>36</v>
      </c>
      <c r="B320" s="31" t="s">
        <v>251</v>
      </c>
      <c r="C320" s="4" t="s">
        <v>29</v>
      </c>
      <c r="D320" s="30"/>
      <c r="E320" s="4" t="s">
        <v>29</v>
      </c>
      <c r="F320" s="30"/>
      <c r="G320" s="53" t="s">
        <v>53</v>
      </c>
      <c r="H320" s="27"/>
      <c r="I320" s="27"/>
      <c r="J320" s="99"/>
      <c r="K320" s="99"/>
      <c r="L320" s="50" t="s">
        <v>34</v>
      </c>
      <c r="M320" s="34">
        <v>36</v>
      </c>
      <c r="N320" s="31" t="s">
        <v>251</v>
      </c>
      <c r="O320" s="29"/>
      <c r="P320" s="30"/>
      <c r="Q320" s="30"/>
      <c r="R320" s="30"/>
      <c r="S320" s="28"/>
      <c r="T320" s="27"/>
      <c r="U320" s="27"/>
      <c r="V320" s="27"/>
      <c r="W320" s="27"/>
      <c r="X320" s="36"/>
      <c r="Y320" s="10"/>
      <c r="Z320" s="113"/>
      <c r="AA320" s="113"/>
      <c r="AB320" s="113"/>
    </row>
    <row r="321" spans="1:28">
      <c r="A321" s="34">
        <v>69</v>
      </c>
      <c r="B321" s="31" t="s">
        <v>251</v>
      </c>
      <c r="C321" s="4" t="s">
        <v>29</v>
      </c>
      <c r="D321" s="30"/>
      <c r="E321" s="4" t="s">
        <v>29</v>
      </c>
      <c r="F321" s="30"/>
      <c r="G321" s="53" t="s">
        <v>53</v>
      </c>
      <c r="H321" s="27"/>
      <c r="I321" s="27"/>
      <c r="J321" s="99"/>
      <c r="K321" s="99"/>
      <c r="L321" s="50" t="s">
        <v>26</v>
      </c>
      <c r="M321" s="34">
        <v>69</v>
      </c>
      <c r="N321" s="31" t="s">
        <v>251</v>
      </c>
      <c r="O321" s="4" t="s">
        <v>29</v>
      </c>
      <c r="P321" s="30"/>
      <c r="Q321" s="30"/>
      <c r="R321" s="30"/>
      <c r="S321" s="28" t="s">
        <v>25</v>
      </c>
      <c r="T321" s="27"/>
      <c r="U321" s="28">
        <v>45044</v>
      </c>
      <c r="V321" s="27"/>
      <c r="W321" s="27"/>
      <c r="X321" s="36"/>
      <c r="Y321" s="10"/>
      <c r="Z321" s="113"/>
      <c r="AA321" s="113"/>
      <c r="AB321" s="113"/>
    </row>
    <row r="322" spans="1:28">
      <c r="A322" s="34">
        <v>73</v>
      </c>
      <c r="B322" s="31" t="s">
        <v>251</v>
      </c>
      <c r="C322" s="6" t="s">
        <v>46</v>
      </c>
      <c r="D322" s="30"/>
      <c r="E322" s="6" t="s">
        <v>46</v>
      </c>
      <c r="F322" s="30"/>
      <c r="G322" s="53" t="s">
        <v>53</v>
      </c>
      <c r="H322" s="27" t="s">
        <v>257</v>
      </c>
      <c r="I322" s="28"/>
      <c r="J322" s="99"/>
      <c r="K322" s="99"/>
      <c r="L322" s="50" t="s">
        <v>26</v>
      </c>
      <c r="M322" s="34">
        <v>73</v>
      </c>
      <c r="N322" s="31" t="s">
        <v>251</v>
      </c>
      <c r="O322" s="4" t="s">
        <v>29</v>
      </c>
      <c r="P322" s="30"/>
      <c r="Q322" s="30"/>
      <c r="R322" s="30"/>
      <c r="S322" s="28" t="s">
        <v>25</v>
      </c>
      <c r="T322" s="27"/>
      <c r="U322" s="28">
        <v>45019</v>
      </c>
      <c r="V322" s="27"/>
      <c r="W322" s="28">
        <v>45017</v>
      </c>
      <c r="X322" s="36"/>
      <c r="Y322" s="10"/>
      <c r="Z322" s="113"/>
      <c r="AA322" s="113"/>
      <c r="AB322" s="113"/>
    </row>
    <row r="323" spans="1:28" s="19" customFormat="1">
      <c r="A323" s="34">
        <v>80</v>
      </c>
      <c r="B323" s="31" t="s">
        <v>251</v>
      </c>
      <c r="C323" s="4" t="s">
        <v>29</v>
      </c>
      <c r="D323" s="30"/>
      <c r="E323" s="4" t="s">
        <v>29</v>
      </c>
      <c r="F323" s="30"/>
      <c r="G323" s="53" t="s">
        <v>53</v>
      </c>
      <c r="H323" s="27"/>
      <c r="I323" s="27"/>
      <c r="J323" s="99"/>
      <c r="K323" s="99"/>
      <c r="L323" s="50" t="s">
        <v>26</v>
      </c>
      <c r="M323" s="34">
        <v>80</v>
      </c>
      <c r="N323" s="31" t="s">
        <v>251</v>
      </c>
      <c r="O323" s="3" t="s">
        <v>24</v>
      </c>
      <c r="P323" s="30"/>
      <c r="Q323" s="30"/>
      <c r="R323" s="30"/>
      <c r="S323" s="28" t="s">
        <v>25</v>
      </c>
      <c r="T323" s="27"/>
      <c r="U323" s="27"/>
      <c r="V323" s="27"/>
      <c r="W323" s="27"/>
      <c r="X323" s="36"/>
      <c r="Y323" s="10"/>
      <c r="Z323" s="113"/>
      <c r="AA323" s="113"/>
      <c r="AB323" s="113"/>
    </row>
    <row r="324" spans="1:28">
      <c r="A324" s="34">
        <v>93</v>
      </c>
      <c r="B324" s="31" t="s">
        <v>251</v>
      </c>
      <c r="C324" s="4" t="s">
        <v>29</v>
      </c>
      <c r="D324" s="30"/>
      <c r="E324" s="4" t="s">
        <v>29</v>
      </c>
      <c r="F324" s="30"/>
      <c r="G324" s="53" t="s">
        <v>53</v>
      </c>
      <c r="H324" s="27"/>
      <c r="I324" s="27"/>
      <c r="J324" s="99"/>
      <c r="K324" s="99"/>
      <c r="L324" s="50" t="s">
        <v>26</v>
      </c>
      <c r="M324" s="34">
        <v>93</v>
      </c>
      <c r="N324" s="31" t="s">
        <v>251</v>
      </c>
      <c r="O324" s="4" t="s">
        <v>29</v>
      </c>
      <c r="P324" s="30"/>
      <c r="Q324" s="30"/>
      <c r="R324" s="30"/>
      <c r="S324" s="28" t="s">
        <v>25</v>
      </c>
      <c r="T324" s="27"/>
      <c r="U324" s="28">
        <v>45051</v>
      </c>
      <c r="V324" s="27"/>
      <c r="W324" s="27"/>
      <c r="X324" s="36"/>
      <c r="Y324" s="10"/>
      <c r="Z324" s="113"/>
      <c r="AA324" s="113"/>
      <c r="AB324" s="113"/>
    </row>
    <row r="325" spans="1:28">
      <c r="A325" s="34">
        <v>100</v>
      </c>
      <c r="B325" s="31" t="s">
        <v>251</v>
      </c>
      <c r="C325" s="29"/>
      <c r="D325" s="30"/>
      <c r="E325" s="4" t="s">
        <v>29</v>
      </c>
      <c r="F325" s="30"/>
      <c r="G325" s="53" t="s">
        <v>53</v>
      </c>
      <c r="H325" s="27"/>
      <c r="I325" s="27"/>
      <c r="J325" s="99"/>
      <c r="K325" s="99"/>
      <c r="L325" s="50" t="s">
        <v>26</v>
      </c>
      <c r="M325" s="34">
        <v>100</v>
      </c>
      <c r="N325" s="31" t="s">
        <v>251</v>
      </c>
      <c r="O325" s="3" t="s">
        <v>24</v>
      </c>
      <c r="P325" s="30"/>
      <c r="Q325" s="30"/>
      <c r="R325" s="30"/>
      <c r="S325" s="28" t="s">
        <v>25</v>
      </c>
      <c r="T325" s="27"/>
      <c r="U325" s="28">
        <v>45033</v>
      </c>
      <c r="V325" s="27"/>
      <c r="W325" s="27"/>
      <c r="X325" s="36" t="s">
        <v>254</v>
      </c>
      <c r="Y325" s="10" t="s">
        <v>251</v>
      </c>
      <c r="Z325" s="4" t="s">
        <v>29</v>
      </c>
      <c r="AA325" s="113"/>
      <c r="AB325" s="113"/>
    </row>
    <row r="326" spans="1:28">
      <c r="A326" s="34">
        <v>111</v>
      </c>
      <c r="B326" s="31" t="s">
        <v>251</v>
      </c>
      <c r="C326" s="4" t="s">
        <v>29</v>
      </c>
      <c r="D326" s="30"/>
      <c r="E326" s="4" t="s">
        <v>29</v>
      </c>
      <c r="F326" s="30"/>
      <c r="G326" s="53" t="s">
        <v>53</v>
      </c>
      <c r="H326" s="28"/>
      <c r="I326" s="28"/>
      <c r="J326" s="99"/>
      <c r="K326" s="99"/>
      <c r="L326" s="50" t="s">
        <v>26</v>
      </c>
      <c r="M326" s="34">
        <v>111</v>
      </c>
      <c r="N326" s="31" t="s">
        <v>251</v>
      </c>
      <c r="O326" s="4" t="s">
        <v>29</v>
      </c>
      <c r="P326" s="30"/>
      <c r="Q326" s="30"/>
      <c r="R326" s="30"/>
      <c r="S326" s="28" t="s">
        <v>25</v>
      </c>
      <c r="T326" s="27"/>
      <c r="U326" s="28">
        <v>45019</v>
      </c>
      <c r="V326" s="27"/>
      <c r="W326" s="28">
        <v>45015</v>
      </c>
      <c r="X326" s="37"/>
      <c r="Y326" s="10"/>
      <c r="Z326" s="113"/>
      <c r="AA326" s="113"/>
      <c r="AB326" s="113"/>
    </row>
    <row r="327" spans="1:28">
      <c r="A327" s="34">
        <v>112</v>
      </c>
      <c r="B327" s="31" t="s">
        <v>251</v>
      </c>
      <c r="C327" s="4" t="s">
        <v>29</v>
      </c>
      <c r="D327" s="30"/>
      <c r="E327" s="4" t="s">
        <v>29</v>
      </c>
      <c r="F327" s="30"/>
      <c r="G327" s="53" t="s">
        <v>53</v>
      </c>
      <c r="H327" s="27"/>
      <c r="I327" s="27"/>
      <c r="J327" s="99"/>
      <c r="K327" s="99"/>
      <c r="L327" s="50" t="s">
        <v>26</v>
      </c>
      <c r="M327" s="34">
        <v>112</v>
      </c>
      <c r="N327" s="31" t="s">
        <v>251</v>
      </c>
      <c r="O327" s="4" t="s">
        <v>29</v>
      </c>
      <c r="P327" s="30"/>
      <c r="Q327" s="30"/>
      <c r="R327" s="30"/>
      <c r="S327" s="28" t="s">
        <v>25</v>
      </c>
      <c r="T327" s="27"/>
      <c r="U327" s="27"/>
      <c r="V327" s="27"/>
      <c r="W327" s="27"/>
      <c r="X327" s="36"/>
      <c r="Y327" s="10"/>
      <c r="Z327" s="113"/>
      <c r="AA327" s="113"/>
      <c r="AB327" s="113"/>
    </row>
    <row r="328" spans="1:28">
      <c r="A328" s="34">
        <v>113</v>
      </c>
      <c r="B328" s="31" t="s">
        <v>251</v>
      </c>
      <c r="C328" s="4" t="s">
        <v>29</v>
      </c>
      <c r="D328" s="30"/>
      <c r="E328" s="29"/>
      <c r="F328" s="30"/>
      <c r="G328" s="53" t="s">
        <v>53</v>
      </c>
      <c r="H328" s="27"/>
      <c r="I328" s="27"/>
      <c r="J328" s="99"/>
      <c r="K328" s="99"/>
      <c r="L328" s="50" t="s">
        <v>258</v>
      </c>
      <c r="M328" s="8"/>
      <c r="N328" s="31"/>
      <c r="O328" s="113"/>
      <c r="P328" s="113"/>
      <c r="Q328" s="113"/>
      <c r="R328" s="113"/>
      <c r="S328" s="113"/>
      <c r="T328" s="27"/>
      <c r="U328" s="27"/>
      <c r="V328" s="27"/>
      <c r="W328" s="28"/>
      <c r="X328" s="36"/>
      <c r="Y328" s="10"/>
      <c r="Z328" s="113"/>
      <c r="AA328" s="113"/>
      <c r="AB328" s="113"/>
    </row>
    <row r="329" spans="1:28">
      <c r="A329" s="34">
        <v>123</v>
      </c>
      <c r="B329" s="31" t="s">
        <v>251</v>
      </c>
      <c r="C329" s="4" t="s">
        <v>29</v>
      </c>
      <c r="D329" s="30"/>
      <c r="E329" s="4" t="s">
        <v>29</v>
      </c>
      <c r="F329" s="30"/>
      <c r="G329" s="53" t="s">
        <v>53</v>
      </c>
      <c r="H329" s="27"/>
      <c r="I329" s="27"/>
      <c r="J329" s="99"/>
      <c r="K329" s="99"/>
      <c r="L329" s="50" t="s">
        <v>26</v>
      </c>
      <c r="M329" s="34">
        <v>123</v>
      </c>
      <c r="N329" s="31" t="s">
        <v>251</v>
      </c>
      <c r="O329" s="4" t="s">
        <v>29</v>
      </c>
      <c r="P329" s="30"/>
      <c r="Q329" s="30"/>
      <c r="R329" s="30"/>
      <c r="S329" s="28" t="s">
        <v>25</v>
      </c>
      <c r="T329" s="27"/>
      <c r="U329" s="28">
        <v>45019</v>
      </c>
      <c r="V329" s="27"/>
      <c r="W329" s="28">
        <v>45013</v>
      </c>
      <c r="X329" s="36"/>
      <c r="Y329" s="10"/>
      <c r="Z329" s="113"/>
      <c r="AA329" s="113"/>
      <c r="AB329" s="113"/>
    </row>
    <row r="330" spans="1:28">
      <c r="A330" s="34">
        <v>144</v>
      </c>
      <c r="B330" s="31" t="s">
        <v>251</v>
      </c>
      <c r="C330" s="29"/>
      <c r="D330" s="30"/>
      <c r="E330" s="4" t="s">
        <v>29</v>
      </c>
      <c r="F330" s="30"/>
      <c r="G330" s="53" t="s">
        <v>53</v>
      </c>
      <c r="H330" s="27"/>
      <c r="I330" s="27"/>
      <c r="J330" s="99"/>
      <c r="K330" s="99"/>
      <c r="L330" s="50" t="s">
        <v>26</v>
      </c>
      <c r="M330" s="34">
        <v>144</v>
      </c>
      <c r="N330" s="31" t="s">
        <v>251</v>
      </c>
      <c r="O330" s="3" t="s">
        <v>24</v>
      </c>
      <c r="P330" s="30"/>
      <c r="Q330" s="30"/>
      <c r="R330" s="30"/>
      <c r="S330" s="28" t="s">
        <v>25</v>
      </c>
      <c r="T330" s="27"/>
      <c r="U330" s="28">
        <v>45044</v>
      </c>
      <c r="V330" s="27"/>
      <c r="W330" s="27"/>
      <c r="X330" s="36"/>
      <c r="Y330" s="10"/>
      <c r="Z330" s="113"/>
      <c r="AA330" s="113"/>
      <c r="AB330" s="113"/>
    </row>
    <row r="331" spans="1:28">
      <c r="A331" s="34">
        <v>149</v>
      </c>
      <c r="B331" s="31" t="s">
        <v>251</v>
      </c>
      <c r="C331" s="4" t="s">
        <v>29</v>
      </c>
      <c r="D331" s="30"/>
      <c r="E331" s="4" t="s">
        <v>29</v>
      </c>
      <c r="F331" s="30"/>
      <c r="G331" s="53" t="s">
        <v>53</v>
      </c>
      <c r="H331" s="28"/>
      <c r="I331" s="28"/>
      <c r="J331" s="99"/>
      <c r="K331" s="99"/>
      <c r="L331" s="50" t="s">
        <v>26</v>
      </c>
      <c r="M331" s="34">
        <v>149</v>
      </c>
      <c r="N331" s="31" t="s">
        <v>251</v>
      </c>
      <c r="O331" s="4" t="s">
        <v>29</v>
      </c>
      <c r="P331" s="30"/>
      <c r="Q331" s="30"/>
      <c r="R331" s="30"/>
      <c r="S331" s="28" t="s">
        <v>25</v>
      </c>
      <c r="T331" s="27"/>
      <c r="U331" s="28">
        <v>45012</v>
      </c>
      <c r="V331" s="27"/>
      <c r="W331" s="28"/>
      <c r="X331" s="37"/>
      <c r="Y331" s="10"/>
      <c r="Z331" s="113"/>
      <c r="AA331" s="113"/>
      <c r="AB331" s="113"/>
    </row>
    <row r="332" spans="1:28">
      <c r="A332" s="34">
        <v>164</v>
      </c>
      <c r="B332" s="31" t="s">
        <v>251</v>
      </c>
      <c r="C332" s="29"/>
      <c r="D332" s="30"/>
      <c r="E332" s="4" t="s">
        <v>29</v>
      </c>
      <c r="F332" s="30"/>
      <c r="G332" s="53" t="s">
        <v>53</v>
      </c>
      <c r="H332" s="27"/>
      <c r="I332" s="28"/>
      <c r="J332" s="99"/>
      <c r="K332" s="99"/>
      <c r="L332" s="50" t="s">
        <v>26</v>
      </c>
      <c r="M332" s="34">
        <v>164</v>
      </c>
      <c r="N332" s="31" t="s">
        <v>251</v>
      </c>
      <c r="O332" s="4" t="s">
        <v>29</v>
      </c>
      <c r="P332" s="30"/>
      <c r="Q332" s="30"/>
      <c r="R332" s="30"/>
      <c r="S332" s="28" t="s">
        <v>25</v>
      </c>
      <c r="T332" s="27"/>
      <c r="U332" s="28">
        <v>45051</v>
      </c>
      <c r="V332" s="27"/>
      <c r="W332" s="28"/>
      <c r="X332" s="36"/>
      <c r="Y332" s="10"/>
      <c r="Z332" s="113"/>
      <c r="AA332" s="113"/>
      <c r="AB332" s="113"/>
    </row>
    <row r="333" spans="1:28">
      <c r="A333" s="34">
        <v>166</v>
      </c>
      <c r="B333" s="31" t="s">
        <v>251</v>
      </c>
      <c r="C333" s="4" t="s">
        <v>29</v>
      </c>
      <c r="D333" s="30"/>
      <c r="E333" s="4" t="s">
        <v>29</v>
      </c>
      <c r="F333" s="30"/>
      <c r="G333" s="53" t="s">
        <v>53</v>
      </c>
      <c r="H333" s="28"/>
      <c r="I333" s="28"/>
      <c r="J333" s="99"/>
      <c r="K333" s="99"/>
      <c r="L333" s="50" t="s">
        <v>26</v>
      </c>
      <c r="M333" s="34">
        <v>166</v>
      </c>
      <c r="N333" s="31" t="s">
        <v>251</v>
      </c>
      <c r="O333" s="4" t="s">
        <v>29</v>
      </c>
      <c r="P333" s="30"/>
      <c r="Q333" s="30"/>
      <c r="R333" s="30"/>
      <c r="S333" s="28" t="s">
        <v>25</v>
      </c>
      <c r="T333" s="27"/>
      <c r="U333" s="28">
        <v>45033</v>
      </c>
      <c r="V333" s="27"/>
      <c r="W333" s="27"/>
      <c r="X333" s="36" t="s">
        <v>254</v>
      </c>
      <c r="Y333" s="10" t="s">
        <v>251</v>
      </c>
      <c r="Z333" s="4" t="s">
        <v>29</v>
      </c>
      <c r="AA333" s="113"/>
      <c r="AB333" s="113"/>
    </row>
    <row r="334" spans="1:28">
      <c r="A334" s="34">
        <v>171</v>
      </c>
      <c r="B334" s="31" t="s">
        <v>251</v>
      </c>
      <c r="C334" s="3" t="s">
        <v>24</v>
      </c>
      <c r="D334" s="30"/>
      <c r="E334" s="3" t="s">
        <v>24</v>
      </c>
      <c r="F334" s="30"/>
      <c r="G334" s="53" t="s">
        <v>53</v>
      </c>
      <c r="H334" s="27"/>
      <c r="I334" s="27"/>
      <c r="J334" s="99"/>
      <c r="K334" s="99"/>
      <c r="L334" s="50" t="s">
        <v>238</v>
      </c>
      <c r="M334" s="8"/>
      <c r="N334" s="31"/>
      <c r="O334" s="113"/>
      <c r="P334" s="113"/>
      <c r="Q334" s="113"/>
      <c r="R334" s="113"/>
      <c r="S334" s="113"/>
      <c r="T334" s="27"/>
      <c r="U334" s="27"/>
      <c r="V334" s="27"/>
      <c r="W334" s="28"/>
      <c r="X334" s="36"/>
      <c r="Y334" s="10"/>
      <c r="Z334" s="113"/>
      <c r="AA334" s="113"/>
      <c r="AB334" s="113"/>
    </row>
    <row r="335" spans="1:28">
      <c r="A335" s="34">
        <v>173</v>
      </c>
      <c r="B335" s="31" t="s">
        <v>251</v>
      </c>
      <c r="C335" s="6" t="s">
        <v>46</v>
      </c>
      <c r="D335" s="30"/>
      <c r="E335" s="6" t="s">
        <v>46</v>
      </c>
      <c r="F335" s="30"/>
      <c r="G335" s="53" t="s">
        <v>53</v>
      </c>
      <c r="H335" s="27"/>
      <c r="I335" s="28"/>
      <c r="J335" s="99"/>
      <c r="K335" s="99"/>
      <c r="L335" s="50" t="s">
        <v>26</v>
      </c>
      <c r="M335" s="34">
        <v>173</v>
      </c>
      <c r="N335" s="31" t="s">
        <v>251</v>
      </c>
      <c r="O335" s="3" t="s">
        <v>24</v>
      </c>
      <c r="P335" s="30"/>
      <c r="Q335" s="30"/>
      <c r="R335" s="30"/>
      <c r="S335" s="28" t="s">
        <v>25</v>
      </c>
      <c r="T335" s="27"/>
      <c r="U335" s="27"/>
      <c r="V335" s="27"/>
      <c r="W335" s="27"/>
      <c r="X335" s="36"/>
      <c r="Y335" s="10"/>
      <c r="Z335" s="113"/>
      <c r="AA335" s="113"/>
      <c r="AB335" s="113" t="s">
        <v>259</v>
      </c>
    </row>
    <row r="336" spans="1:28">
      <c r="A336" s="34">
        <v>182</v>
      </c>
      <c r="B336" s="31" t="s">
        <v>251</v>
      </c>
      <c r="C336" s="29"/>
      <c r="D336" s="30"/>
      <c r="E336" s="4" t="s">
        <v>29</v>
      </c>
      <c r="F336" s="30"/>
      <c r="G336" s="53" t="s">
        <v>53</v>
      </c>
      <c r="H336" s="27"/>
      <c r="I336" s="28"/>
      <c r="J336" s="99"/>
      <c r="K336" s="99"/>
      <c r="L336" s="50" t="s">
        <v>26</v>
      </c>
      <c r="M336" s="34">
        <v>182</v>
      </c>
      <c r="N336" s="31" t="s">
        <v>251</v>
      </c>
      <c r="O336" s="3" t="s">
        <v>24</v>
      </c>
      <c r="P336" s="30"/>
      <c r="Q336" s="30"/>
      <c r="R336" s="30"/>
      <c r="S336" s="28" t="s">
        <v>25</v>
      </c>
      <c r="T336" s="27"/>
      <c r="U336" s="28">
        <v>45054</v>
      </c>
      <c r="V336" s="27"/>
      <c r="W336" s="28"/>
      <c r="X336" s="36"/>
      <c r="Y336" s="10"/>
      <c r="Z336" s="113"/>
      <c r="AA336" s="113"/>
      <c r="AB336" s="113"/>
    </row>
    <row r="337" spans="1:28">
      <c r="A337" s="34">
        <v>183</v>
      </c>
      <c r="B337" s="31" t="s">
        <v>251</v>
      </c>
      <c r="C337" s="4" t="s">
        <v>29</v>
      </c>
      <c r="D337" s="30"/>
      <c r="E337" s="4" t="s">
        <v>29</v>
      </c>
      <c r="F337" s="30"/>
      <c r="G337" s="53" t="s">
        <v>53</v>
      </c>
      <c r="H337" s="27"/>
      <c r="I337" s="27"/>
      <c r="J337" s="99"/>
      <c r="K337" s="99"/>
      <c r="L337" s="50" t="s">
        <v>26</v>
      </c>
      <c r="M337" s="34">
        <v>183</v>
      </c>
      <c r="N337" s="31" t="s">
        <v>251</v>
      </c>
      <c r="O337" s="4" t="s">
        <v>29</v>
      </c>
      <c r="P337" s="30"/>
      <c r="Q337" s="30"/>
      <c r="R337" s="30"/>
      <c r="S337" s="28" t="s">
        <v>25</v>
      </c>
      <c r="T337" s="27"/>
      <c r="U337" s="28">
        <v>45037</v>
      </c>
      <c r="V337" s="27"/>
      <c r="W337" s="27"/>
      <c r="X337" s="36"/>
      <c r="Y337" s="10"/>
      <c r="Z337" s="113"/>
      <c r="AA337" s="113"/>
      <c r="AB337" s="113"/>
    </row>
    <row r="338" spans="1:28">
      <c r="A338" s="34">
        <v>197</v>
      </c>
      <c r="B338" s="31" t="s">
        <v>251</v>
      </c>
      <c r="C338" s="3" t="s">
        <v>24</v>
      </c>
      <c r="D338" s="30"/>
      <c r="E338" s="3" t="s">
        <v>24</v>
      </c>
      <c r="F338" s="30"/>
      <c r="G338" s="53" t="s">
        <v>53</v>
      </c>
      <c r="H338" s="27"/>
      <c r="I338" s="27"/>
      <c r="J338" s="99"/>
      <c r="K338" s="99"/>
      <c r="L338" s="50" t="s">
        <v>26</v>
      </c>
      <c r="M338" s="34">
        <v>197</v>
      </c>
      <c r="N338" s="31" t="s">
        <v>251</v>
      </c>
      <c r="O338" s="3" t="s">
        <v>24</v>
      </c>
      <c r="P338" s="30"/>
      <c r="Q338" s="30"/>
      <c r="R338" s="30"/>
      <c r="S338" s="28" t="s">
        <v>25</v>
      </c>
      <c r="T338" s="27"/>
      <c r="U338" s="28">
        <v>45044</v>
      </c>
      <c r="V338" s="27"/>
      <c r="W338" s="27"/>
      <c r="X338" s="36" t="s">
        <v>254</v>
      </c>
      <c r="Y338" s="10" t="s">
        <v>251</v>
      </c>
      <c r="Z338" s="4" t="s">
        <v>29</v>
      </c>
      <c r="AA338" s="113"/>
      <c r="AB338" s="113"/>
    </row>
    <row r="339" spans="1:28">
      <c r="A339" s="34">
        <v>198</v>
      </c>
      <c r="B339" s="31" t="s">
        <v>251</v>
      </c>
      <c r="C339" s="4" t="s">
        <v>29</v>
      </c>
      <c r="D339" s="30"/>
      <c r="E339" s="4" t="s">
        <v>29</v>
      </c>
      <c r="F339" s="30"/>
      <c r="G339" s="53" t="s">
        <v>53</v>
      </c>
      <c r="H339" s="28"/>
      <c r="I339" s="28"/>
      <c r="J339" s="99"/>
      <c r="K339" s="99"/>
      <c r="L339" s="50" t="s">
        <v>26</v>
      </c>
      <c r="M339" s="34">
        <v>198</v>
      </c>
      <c r="N339" s="31" t="s">
        <v>251</v>
      </c>
      <c r="O339" s="4" t="s">
        <v>29</v>
      </c>
      <c r="P339" s="30"/>
      <c r="Q339" s="30"/>
      <c r="R339" s="30"/>
      <c r="S339" s="28" t="s">
        <v>25</v>
      </c>
      <c r="T339" s="28"/>
      <c r="U339" s="28">
        <v>45027</v>
      </c>
      <c r="V339" s="28"/>
      <c r="W339" s="28">
        <v>45025</v>
      </c>
      <c r="X339" s="37"/>
      <c r="Y339" s="10"/>
      <c r="Z339" s="113"/>
      <c r="AA339" s="113"/>
      <c r="AB339" s="113"/>
    </row>
    <row r="340" spans="1:28">
      <c r="A340" s="34">
        <v>200</v>
      </c>
      <c r="B340" s="31" t="s">
        <v>251</v>
      </c>
      <c r="C340" s="29"/>
      <c r="D340" s="30"/>
      <c r="E340" s="4" t="s">
        <v>29</v>
      </c>
      <c r="F340" s="30"/>
      <c r="G340" s="53" t="s">
        <v>53</v>
      </c>
      <c r="H340" s="27"/>
      <c r="I340" s="27"/>
      <c r="J340" s="99"/>
      <c r="K340" s="99"/>
      <c r="L340" s="50" t="s">
        <v>26</v>
      </c>
      <c r="M340" s="34">
        <v>200</v>
      </c>
      <c r="N340" s="31" t="s">
        <v>251</v>
      </c>
      <c r="O340" s="3" t="s">
        <v>24</v>
      </c>
      <c r="P340" s="30"/>
      <c r="Q340" s="30"/>
      <c r="R340" s="30"/>
      <c r="S340" s="28" t="s">
        <v>25</v>
      </c>
      <c r="T340" s="27"/>
      <c r="U340" s="28">
        <v>45054</v>
      </c>
      <c r="V340" s="27"/>
      <c r="W340" s="27"/>
      <c r="X340" s="36"/>
      <c r="Y340" s="10"/>
      <c r="Z340" s="113"/>
      <c r="AA340" s="113"/>
      <c r="AB340" s="113"/>
    </row>
    <row r="341" spans="1:28">
      <c r="A341" s="34">
        <v>203</v>
      </c>
      <c r="B341" s="31" t="s">
        <v>251</v>
      </c>
      <c r="C341" s="3" t="s">
        <v>24</v>
      </c>
      <c r="D341" s="30"/>
      <c r="E341" s="3" t="s">
        <v>24</v>
      </c>
      <c r="F341" s="30"/>
      <c r="G341" s="53" t="s">
        <v>53</v>
      </c>
      <c r="H341" s="27"/>
      <c r="I341" s="28"/>
      <c r="J341" s="99"/>
      <c r="K341" s="99"/>
      <c r="L341" s="50" t="s">
        <v>26</v>
      </c>
      <c r="M341" s="34">
        <v>203</v>
      </c>
      <c r="N341" s="31" t="s">
        <v>251</v>
      </c>
      <c r="O341" s="3" t="s">
        <v>24</v>
      </c>
      <c r="P341" s="30"/>
      <c r="Q341" s="30"/>
      <c r="R341" s="30"/>
      <c r="S341" s="28" t="s">
        <v>25</v>
      </c>
      <c r="T341" s="27"/>
      <c r="U341" s="28">
        <v>45019</v>
      </c>
      <c r="V341" s="27"/>
      <c r="W341" s="28">
        <v>45017</v>
      </c>
      <c r="X341" s="36"/>
      <c r="Y341" s="10"/>
      <c r="Z341" s="113"/>
      <c r="AA341" s="113"/>
      <c r="AB341" s="113"/>
    </row>
    <row r="342" spans="1:28">
      <c r="A342" s="34">
        <v>206</v>
      </c>
      <c r="B342" s="31" t="s">
        <v>251</v>
      </c>
      <c r="C342" s="3" t="s">
        <v>24</v>
      </c>
      <c r="D342" s="30"/>
      <c r="E342" s="3" t="s">
        <v>24</v>
      </c>
      <c r="F342" s="30"/>
      <c r="G342" s="53" t="s">
        <v>53</v>
      </c>
      <c r="H342" s="27"/>
      <c r="I342" s="27"/>
      <c r="J342" s="99"/>
      <c r="K342" s="99"/>
      <c r="L342" s="50" t="s">
        <v>26</v>
      </c>
      <c r="M342" s="34">
        <v>206</v>
      </c>
      <c r="N342" s="31" t="s">
        <v>251</v>
      </c>
      <c r="O342" s="29"/>
      <c r="P342" s="30"/>
      <c r="Q342" s="30"/>
      <c r="R342" s="30"/>
      <c r="S342" s="28" t="s">
        <v>25</v>
      </c>
      <c r="T342" s="27"/>
      <c r="U342" s="28">
        <v>45013</v>
      </c>
      <c r="V342" s="27"/>
      <c r="W342" s="28">
        <v>45010</v>
      </c>
      <c r="X342" s="36"/>
      <c r="Y342" s="10"/>
      <c r="Z342" s="113"/>
      <c r="AA342" s="113"/>
      <c r="AB342" s="113"/>
    </row>
    <row r="343" spans="1:28">
      <c r="A343" s="34">
        <v>220</v>
      </c>
      <c r="B343" s="31" t="s">
        <v>251</v>
      </c>
      <c r="C343" s="29"/>
      <c r="D343" s="30"/>
      <c r="E343" s="4" t="s">
        <v>29</v>
      </c>
      <c r="F343" s="30"/>
      <c r="G343" s="53" t="s">
        <v>53</v>
      </c>
      <c r="H343" s="27"/>
      <c r="I343" s="27"/>
      <c r="J343" s="99"/>
      <c r="K343" s="99"/>
      <c r="L343" s="50" t="s">
        <v>26</v>
      </c>
      <c r="M343" s="34">
        <v>220</v>
      </c>
      <c r="N343" s="31" t="s">
        <v>251</v>
      </c>
      <c r="O343" s="4" t="s">
        <v>29</v>
      </c>
      <c r="P343" s="30"/>
      <c r="Q343" s="30"/>
      <c r="R343" s="30"/>
      <c r="S343" s="28" t="s">
        <v>25</v>
      </c>
      <c r="T343" s="27"/>
      <c r="U343" s="28">
        <v>45044</v>
      </c>
      <c r="V343" s="27"/>
      <c r="W343" s="27"/>
      <c r="X343" s="36"/>
      <c r="Y343" s="10"/>
      <c r="Z343" s="113"/>
      <c r="AA343" s="113"/>
      <c r="AB343" s="113"/>
    </row>
    <row r="344" spans="1:28">
      <c r="A344" s="34">
        <v>226</v>
      </c>
      <c r="B344" s="31" t="s">
        <v>251</v>
      </c>
      <c r="C344" s="3" t="s">
        <v>24</v>
      </c>
      <c r="D344" s="30"/>
      <c r="E344" s="3" t="s">
        <v>24</v>
      </c>
      <c r="F344" s="30"/>
      <c r="G344" s="53" t="s">
        <v>53</v>
      </c>
      <c r="H344" s="27" t="s">
        <v>257</v>
      </c>
      <c r="I344" s="27"/>
      <c r="J344" s="99"/>
      <c r="K344" s="99"/>
      <c r="L344" s="50" t="s">
        <v>26</v>
      </c>
      <c r="M344" s="34">
        <v>226</v>
      </c>
      <c r="N344" s="31" t="s">
        <v>251</v>
      </c>
      <c r="O344" s="3" t="s">
        <v>24</v>
      </c>
      <c r="P344" s="30"/>
      <c r="Q344" s="30"/>
      <c r="R344" s="30"/>
      <c r="S344" s="28" t="s">
        <v>25</v>
      </c>
      <c r="T344" s="27"/>
      <c r="U344" s="28">
        <v>45027</v>
      </c>
      <c r="V344" s="27"/>
      <c r="W344" s="28">
        <v>45022</v>
      </c>
      <c r="X344" s="36"/>
      <c r="Y344" s="10"/>
      <c r="Z344" s="113"/>
      <c r="AA344" s="113"/>
      <c r="AB344" s="113"/>
    </row>
    <row r="345" spans="1:28">
      <c r="A345" s="34">
        <v>227</v>
      </c>
      <c r="B345" s="31" t="s">
        <v>251</v>
      </c>
      <c r="C345" s="29"/>
      <c r="D345" s="30"/>
      <c r="E345" s="3" t="s">
        <v>24</v>
      </c>
      <c r="F345" s="30"/>
      <c r="G345" s="53" t="s">
        <v>53</v>
      </c>
      <c r="H345" s="27"/>
      <c r="I345" s="27"/>
      <c r="J345" s="99"/>
      <c r="K345" s="99"/>
      <c r="L345" s="50" t="s">
        <v>26</v>
      </c>
      <c r="M345" s="34">
        <v>227</v>
      </c>
      <c r="N345" s="31" t="s">
        <v>251</v>
      </c>
      <c r="O345" s="4" t="s">
        <v>29</v>
      </c>
      <c r="P345" s="30"/>
      <c r="Q345" s="30"/>
      <c r="R345" s="30"/>
      <c r="S345" s="28" t="s">
        <v>25</v>
      </c>
      <c r="T345" s="27"/>
      <c r="U345" s="28">
        <v>45037</v>
      </c>
      <c r="V345" s="27"/>
      <c r="W345" s="27"/>
      <c r="X345" s="36" t="s">
        <v>254</v>
      </c>
      <c r="Y345" s="10" t="s">
        <v>251</v>
      </c>
      <c r="Z345" s="4" t="s">
        <v>29</v>
      </c>
      <c r="AA345" s="113"/>
      <c r="AB345" s="113"/>
    </row>
    <row r="346" spans="1:28">
      <c r="A346" s="34">
        <v>235</v>
      </c>
      <c r="B346" s="31" t="s">
        <v>251</v>
      </c>
      <c r="C346" s="3" t="s">
        <v>24</v>
      </c>
      <c r="D346" s="30"/>
      <c r="E346" s="3" t="s">
        <v>24</v>
      </c>
      <c r="F346" s="30"/>
      <c r="G346" s="53" t="s">
        <v>53</v>
      </c>
      <c r="H346" s="27" t="s">
        <v>257</v>
      </c>
      <c r="I346" s="28"/>
      <c r="J346" s="99"/>
      <c r="K346" s="99"/>
      <c r="L346" s="50" t="s">
        <v>26</v>
      </c>
      <c r="M346" s="34">
        <v>235</v>
      </c>
      <c r="N346" s="31" t="s">
        <v>251</v>
      </c>
      <c r="O346" s="29"/>
      <c r="P346" s="30"/>
      <c r="Q346" s="30"/>
      <c r="R346" s="30"/>
      <c r="S346" s="28" t="s">
        <v>25</v>
      </c>
      <c r="T346" s="27"/>
      <c r="U346" s="28">
        <v>45012</v>
      </c>
      <c r="V346" s="27"/>
      <c r="W346" s="28">
        <v>45009</v>
      </c>
      <c r="X346" s="36"/>
      <c r="Y346" s="10"/>
      <c r="Z346" s="113"/>
      <c r="AA346" s="113"/>
      <c r="AB346" s="113"/>
    </row>
    <row r="347" spans="1:28">
      <c r="A347" s="34">
        <v>240</v>
      </c>
      <c r="B347" s="31" t="s">
        <v>251</v>
      </c>
      <c r="C347" s="4" t="s">
        <v>29</v>
      </c>
      <c r="D347" s="30"/>
      <c r="E347" s="4" t="s">
        <v>29</v>
      </c>
      <c r="F347" s="30"/>
      <c r="G347" s="53" t="s">
        <v>53</v>
      </c>
      <c r="H347" s="27"/>
      <c r="I347" s="28"/>
      <c r="J347" s="99"/>
      <c r="K347" s="99"/>
      <c r="L347" s="50" t="s">
        <v>26</v>
      </c>
      <c r="M347" s="34">
        <v>240</v>
      </c>
      <c r="N347" s="31" t="s">
        <v>251</v>
      </c>
      <c r="O347" s="4" t="s">
        <v>29</v>
      </c>
      <c r="P347" s="30"/>
      <c r="Q347" s="30"/>
      <c r="R347" s="30"/>
      <c r="S347" s="28" t="s">
        <v>25</v>
      </c>
      <c r="T347" s="27"/>
      <c r="U347" s="28">
        <v>45054</v>
      </c>
      <c r="V347" s="27"/>
      <c r="W347" s="27"/>
      <c r="X347" s="36"/>
      <c r="Y347" s="10"/>
      <c r="Z347" s="113"/>
      <c r="AA347" s="113"/>
      <c r="AB347" s="113"/>
    </row>
    <row r="348" spans="1:28">
      <c r="A348" s="34">
        <v>256</v>
      </c>
      <c r="B348" s="31" t="s">
        <v>251</v>
      </c>
      <c r="C348" s="29"/>
      <c r="D348" s="30"/>
      <c r="E348" s="29"/>
      <c r="F348" s="30"/>
      <c r="G348" s="53" t="s">
        <v>53</v>
      </c>
      <c r="H348" s="27"/>
      <c r="I348" s="28"/>
      <c r="J348" s="99"/>
      <c r="K348" s="99"/>
      <c r="L348" s="50" t="s">
        <v>238</v>
      </c>
      <c r="M348" s="8"/>
      <c r="N348" s="31"/>
      <c r="O348" s="113"/>
      <c r="P348" s="113"/>
      <c r="Q348" s="113"/>
      <c r="R348" s="113"/>
      <c r="S348" s="113"/>
      <c r="T348" s="27"/>
      <c r="U348" s="27"/>
      <c r="V348" s="27"/>
      <c r="W348" s="28"/>
      <c r="X348" s="36"/>
      <c r="Y348" s="10"/>
      <c r="Z348" s="113"/>
      <c r="AA348" s="113"/>
      <c r="AB348" s="113"/>
    </row>
    <row r="349" spans="1:28">
      <c r="A349" s="34">
        <v>257</v>
      </c>
      <c r="B349" s="31" t="s">
        <v>251</v>
      </c>
      <c r="C349" s="4" t="s">
        <v>29</v>
      </c>
      <c r="D349" s="30"/>
      <c r="E349" s="4" t="s">
        <v>29</v>
      </c>
      <c r="F349" s="30"/>
      <c r="G349" s="53" t="s">
        <v>53</v>
      </c>
      <c r="H349" s="27"/>
      <c r="I349" s="27"/>
      <c r="J349" s="99"/>
      <c r="K349" s="99"/>
      <c r="L349" s="50" t="s">
        <v>238</v>
      </c>
      <c r="M349" s="8"/>
      <c r="N349" s="31"/>
      <c r="O349" s="113"/>
      <c r="P349" s="113"/>
      <c r="Q349" s="113"/>
      <c r="R349" s="113"/>
      <c r="S349" s="113"/>
      <c r="T349" s="27"/>
      <c r="U349" s="27"/>
      <c r="V349" s="27"/>
      <c r="W349" s="28"/>
      <c r="X349" s="36"/>
      <c r="Y349" s="10"/>
      <c r="Z349" s="113"/>
      <c r="AA349" s="113"/>
      <c r="AB349" s="113"/>
    </row>
    <row r="350" spans="1:28">
      <c r="A350" s="34">
        <v>261</v>
      </c>
      <c r="B350" s="31" t="s">
        <v>251</v>
      </c>
      <c r="C350" s="4" t="s">
        <v>29</v>
      </c>
      <c r="D350" s="30"/>
      <c r="E350" s="4" t="s">
        <v>29</v>
      </c>
      <c r="F350" s="30"/>
      <c r="G350" s="53" t="s">
        <v>53</v>
      </c>
      <c r="H350" s="27"/>
      <c r="I350" s="28"/>
      <c r="J350" s="99"/>
      <c r="K350" s="99"/>
      <c r="L350" s="50" t="s">
        <v>26</v>
      </c>
      <c r="M350" s="34">
        <v>261</v>
      </c>
      <c r="N350" s="31" t="s">
        <v>251</v>
      </c>
      <c r="O350" s="4" t="s">
        <v>29</v>
      </c>
      <c r="P350" s="30"/>
      <c r="Q350" s="30"/>
      <c r="R350" s="30"/>
      <c r="S350" s="28" t="s">
        <v>25</v>
      </c>
      <c r="T350" s="27"/>
      <c r="U350" s="28">
        <v>45019</v>
      </c>
      <c r="V350" s="27"/>
      <c r="W350" s="27"/>
      <c r="X350" s="36"/>
      <c r="Y350" s="10"/>
      <c r="Z350" s="113"/>
      <c r="AA350" s="113"/>
      <c r="AB350" s="29" t="s">
        <v>260</v>
      </c>
    </row>
    <row r="351" spans="1:28">
      <c r="A351" s="34">
        <v>265</v>
      </c>
      <c r="B351" s="31" t="s">
        <v>251</v>
      </c>
      <c r="C351" s="4" t="s">
        <v>29</v>
      </c>
      <c r="D351" s="30"/>
      <c r="E351" s="4" t="s">
        <v>29</v>
      </c>
      <c r="F351" s="30"/>
      <c r="G351" s="53" t="s">
        <v>53</v>
      </c>
      <c r="H351" s="27"/>
      <c r="I351" s="27"/>
      <c r="J351" s="99"/>
      <c r="K351" s="99"/>
      <c r="L351" s="50" t="s">
        <v>238</v>
      </c>
      <c r="M351" s="8"/>
      <c r="N351" s="31"/>
      <c r="O351" s="113"/>
      <c r="P351" s="113"/>
      <c r="Q351" s="113"/>
      <c r="R351" s="113"/>
      <c r="S351" s="113"/>
      <c r="T351" s="27"/>
      <c r="U351" s="27"/>
      <c r="V351" s="27"/>
      <c r="W351" s="28"/>
      <c r="X351" s="36"/>
      <c r="Y351" s="10"/>
      <c r="Z351" s="113"/>
      <c r="AA351" s="113"/>
      <c r="AB351" s="113"/>
    </row>
    <row r="352" spans="1:28">
      <c r="A352" s="34">
        <v>266</v>
      </c>
      <c r="B352" s="31" t="s">
        <v>251</v>
      </c>
      <c r="C352" s="3" t="s">
        <v>24</v>
      </c>
      <c r="D352" s="30"/>
      <c r="E352" s="3" t="s">
        <v>24</v>
      </c>
      <c r="F352" s="30"/>
      <c r="G352" s="53" t="s">
        <v>53</v>
      </c>
      <c r="H352" s="27"/>
      <c r="I352" s="28"/>
      <c r="J352" s="99"/>
      <c r="K352" s="99"/>
      <c r="L352" s="50" t="s">
        <v>26</v>
      </c>
      <c r="M352" s="34">
        <v>266</v>
      </c>
      <c r="N352" s="31" t="s">
        <v>251</v>
      </c>
      <c r="O352" s="6" t="s">
        <v>46</v>
      </c>
      <c r="P352" s="30"/>
      <c r="Q352" s="30"/>
      <c r="R352" s="30"/>
      <c r="S352" s="28" t="s">
        <v>25</v>
      </c>
      <c r="T352" s="27"/>
      <c r="U352" s="28">
        <v>45013</v>
      </c>
      <c r="V352" s="27"/>
      <c r="W352" s="28">
        <v>45010</v>
      </c>
      <c r="X352" s="36"/>
      <c r="Y352" s="10"/>
      <c r="Z352" s="113"/>
      <c r="AA352" s="113"/>
      <c r="AB352" s="113"/>
    </row>
    <row r="353" spans="1:28">
      <c r="A353" s="34">
        <v>271</v>
      </c>
      <c r="B353" s="31" t="s">
        <v>251</v>
      </c>
      <c r="C353" s="4" t="s">
        <v>29</v>
      </c>
      <c r="D353" s="30"/>
      <c r="E353" s="4" t="s">
        <v>29</v>
      </c>
      <c r="F353" s="30"/>
      <c r="G353" s="53" t="s">
        <v>53</v>
      </c>
      <c r="H353" s="27"/>
      <c r="I353" s="28"/>
      <c r="J353" s="99"/>
      <c r="K353" s="99"/>
      <c r="L353" s="50" t="s">
        <v>26</v>
      </c>
      <c r="M353" s="34">
        <v>271</v>
      </c>
      <c r="N353" s="31" t="s">
        <v>251</v>
      </c>
      <c r="O353" s="4" t="s">
        <v>29</v>
      </c>
      <c r="P353" s="30"/>
      <c r="Q353" s="30"/>
      <c r="R353" s="30"/>
      <c r="S353" s="28" t="s">
        <v>25</v>
      </c>
      <c r="T353" s="27"/>
      <c r="U353" s="28">
        <v>45013</v>
      </c>
      <c r="V353" s="27"/>
      <c r="W353" s="28">
        <v>45010</v>
      </c>
      <c r="X353" s="36"/>
      <c r="Y353" s="10"/>
      <c r="Z353" s="113"/>
      <c r="AA353" s="113"/>
      <c r="AB353" s="29" t="s">
        <v>260</v>
      </c>
    </row>
    <row r="354" spans="1:28">
      <c r="A354" s="34">
        <v>282</v>
      </c>
      <c r="B354" s="31" t="s">
        <v>251</v>
      </c>
      <c r="C354" s="29"/>
      <c r="D354" s="30"/>
      <c r="E354" s="4" t="s">
        <v>29</v>
      </c>
      <c r="F354" s="30"/>
      <c r="G354" s="53" t="s">
        <v>53</v>
      </c>
      <c r="H354" s="28"/>
      <c r="I354" s="28"/>
      <c r="J354" s="99"/>
      <c r="K354" s="99"/>
      <c r="L354" s="50" t="s">
        <v>26</v>
      </c>
      <c r="M354" s="34">
        <v>282</v>
      </c>
      <c r="N354" s="31" t="s">
        <v>251</v>
      </c>
      <c r="O354" s="3" t="s">
        <v>24</v>
      </c>
      <c r="P354" s="30"/>
      <c r="Q354" s="30"/>
      <c r="R354" s="30"/>
      <c r="S354" s="28" t="s">
        <v>25</v>
      </c>
      <c r="T354" s="28"/>
      <c r="U354" s="28">
        <v>45030</v>
      </c>
      <c r="V354" s="28"/>
      <c r="W354" s="28"/>
      <c r="X354" s="37"/>
      <c r="Y354" s="10"/>
      <c r="Z354" s="113"/>
      <c r="AA354" s="113"/>
      <c r="AB354" s="113"/>
    </row>
    <row r="355" spans="1:28">
      <c r="A355" s="34">
        <v>283</v>
      </c>
      <c r="B355" s="31" t="s">
        <v>251</v>
      </c>
      <c r="C355" s="4" t="s">
        <v>29</v>
      </c>
      <c r="D355" s="30"/>
      <c r="E355" s="4" t="s">
        <v>29</v>
      </c>
      <c r="F355" s="30"/>
      <c r="G355" s="53" t="s">
        <v>53</v>
      </c>
      <c r="H355" s="27"/>
      <c r="I355" s="27"/>
      <c r="J355" s="99"/>
      <c r="K355" s="99"/>
      <c r="L355" s="50" t="s">
        <v>26</v>
      </c>
      <c r="M355" s="34">
        <v>283</v>
      </c>
      <c r="N355" s="31" t="s">
        <v>251</v>
      </c>
      <c r="O355" s="29"/>
      <c r="P355" s="30"/>
      <c r="Q355" s="30"/>
      <c r="R355" s="30"/>
      <c r="S355" s="28" t="s">
        <v>25</v>
      </c>
      <c r="T355" s="27"/>
      <c r="U355" s="27"/>
      <c r="V355" s="27"/>
      <c r="W355" s="28">
        <v>45066</v>
      </c>
      <c r="X355" s="36"/>
      <c r="Y355" s="10"/>
      <c r="Z355" s="113"/>
      <c r="AA355" s="113"/>
      <c r="AB355" s="113"/>
    </row>
    <row r="356" spans="1:28">
      <c r="A356" s="34">
        <v>288</v>
      </c>
      <c r="B356" s="31" t="s">
        <v>251</v>
      </c>
      <c r="C356" s="3" t="s">
        <v>24</v>
      </c>
      <c r="D356" s="30"/>
      <c r="E356" s="3" t="s">
        <v>24</v>
      </c>
      <c r="F356" s="30"/>
      <c r="G356" s="53" t="s">
        <v>53</v>
      </c>
      <c r="H356" s="27"/>
      <c r="I356" s="27"/>
      <c r="J356" s="99"/>
      <c r="K356" s="99"/>
      <c r="L356" s="50" t="s">
        <v>26</v>
      </c>
      <c r="M356" s="34">
        <v>288</v>
      </c>
      <c r="N356" s="31" t="s">
        <v>251</v>
      </c>
      <c r="O356" s="3" t="s">
        <v>24</v>
      </c>
      <c r="P356" s="30"/>
      <c r="Q356" s="30"/>
      <c r="R356" s="30"/>
      <c r="S356" s="28" t="s">
        <v>25</v>
      </c>
      <c r="T356" s="27"/>
      <c r="U356" s="28">
        <v>45043</v>
      </c>
      <c r="V356" s="27"/>
      <c r="W356" s="27"/>
      <c r="X356" s="36" t="s">
        <v>254</v>
      </c>
      <c r="Y356" s="10" t="s">
        <v>251</v>
      </c>
      <c r="Z356" s="4" t="s">
        <v>29</v>
      </c>
      <c r="AA356" s="113"/>
      <c r="AB356" s="113"/>
    </row>
    <row r="357" spans="1:28">
      <c r="A357" s="34">
        <v>300</v>
      </c>
      <c r="B357" s="31" t="s">
        <v>251</v>
      </c>
      <c r="C357" s="4" t="s">
        <v>29</v>
      </c>
      <c r="D357" s="30"/>
      <c r="E357" s="4" t="s">
        <v>29</v>
      </c>
      <c r="F357" s="30"/>
      <c r="G357" s="53" t="s">
        <v>53</v>
      </c>
      <c r="H357" s="27"/>
      <c r="I357" s="27"/>
      <c r="J357" s="99"/>
      <c r="K357" s="99"/>
      <c r="L357" s="50" t="s">
        <v>26</v>
      </c>
      <c r="M357" s="34">
        <v>300</v>
      </c>
      <c r="N357" s="31" t="s">
        <v>251</v>
      </c>
      <c r="O357" s="3" t="s">
        <v>24</v>
      </c>
      <c r="P357" s="30"/>
      <c r="Q357" s="30"/>
      <c r="R357" s="30"/>
      <c r="S357" s="28" t="s">
        <v>25</v>
      </c>
      <c r="T357" s="27"/>
      <c r="U357" s="27"/>
      <c r="V357" s="27"/>
      <c r="W357" s="27"/>
      <c r="X357" s="36"/>
      <c r="Y357" s="10"/>
      <c r="Z357" s="113"/>
      <c r="AA357" s="113"/>
      <c r="AB357" s="113"/>
    </row>
    <row r="358" spans="1:28">
      <c r="A358" s="34">
        <v>314</v>
      </c>
      <c r="B358" s="31" t="s">
        <v>251</v>
      </c>
      <c r="C358" s="3" t="s">
        <v>24</v>
      </c>
      <c r="D358" s="30"/>
      <c r="E358" s="3" t="s">
        <v>24</v>
      </c>
      <c r="F358" s="30"/>
      <c r="G358" s="53" t="s">
        <v>53</v>
      </c>
      <c r="H358" s="27"/>
      <c r="I358" s="28"/>
      <c r="J358" s="99"/>
      <c r="K358" s="99"/>
      <c r="L358" s="50" t="s">
        <v>26</v>
      </c>
      <c r="M358" s="34">
        <v>314</v>
      </c>
      <c r="N358" s="31" t="s">
        <v>251</v>
      </c>
      <c r="O358" s="4" t="s">
        <v>29</v>
      </c>
      <c r="P358" s="30"/>
      <c r="Q358" s="30"/>
      <c r="R358" s="30"/>
      <c r="S358" s="28" t="s">
        <v>25</v>
      </c>
      <c r="T358" s="27"/>
      <c r="U358" s="28">
        <v>45013</v>
      </c>
      <c r="V358" s="27"/>
      <c r="W358" s="28">
        <v>45010</v>
      </c>
      <c r="X358" s="36"/>
      <c r="Y358" s="10"/>
      <c r="Z358" s="113"/>
      <c r="AA358" s="113"/>
      <c r="AB358" s="29" t="s">
        <v>260</v>
      </c>
    </row>
    <row r="359" spans="1:28">
      <c r="A359" s="34">
        <v>320</v>
      </c>
      <c r="B359" s="31" t="s">
        <v>251</v>
      </c>
      <c r="C359" s="4" t="s">
        <v>29</v>
      </c>
      <c r="D359" s="30"/>
      <c r="E359" s="4" t="s">
        <v>29</v>
      </c>
      <c r="F359" s="30"/>
      <c r="G359" s="53" t="s">
        <v>53</v>
      </c>
      <c r="H359" s="27" t="s">
        <v>257</v>
      </c>
      <c r="I359" s="28"/>
      <c r="J359" s="99"/>
      <c r="K359" s="99"/>
      <c r="L359" s="50" t="s">
        <v>26</v>
      </c>
      <c r="M359" s="34">
        <v>320</v>
      </c>
      <c r="N359" s="31" t="s">
        <v>251</v>
      </c>
      <c r="O359" s="4" t="s">
        <v>29</v>
      </c>
      <c r="P359" s="30"/>
      <c r="Q359" s="30"/>
      <c r="R359" s="30"/>
      <c r="S359" s="28" t="s">
        <v>25</v>
      </c>
      <c r="T359" s="27"/>
      <c r="U359" s="28">
        <v>45019</v>
      </c>
      <c r="V359" s="27"/>
      <c r="W359" s="28">
        <v>45012</v>
      </c>
      <c r="X359" s="36"/>
      <c r="Y359" s="10"/>
      <c r="Z359" s="113"/>
      <c r="AA359" s="113"/>
      <c r="AB359" s="113"/>
    </row>
    <row r="360" spans="1:28">
      <c r="A360" s="34">
        <v>321</v>
      </c>
      <c r="B360" s="31" t="s">
        <v>251</v>
      </c>
      <c r="C360" s="4" t="s">
        <v>29</v>
      </c>
      <c r="D360" s="30"/>
      <c r="E360" s="4" t="s">
        <v>29</v>
      </c>
      <c r="F360" s="30"/>
      <c r="G360" s="53" t="s">
        <v>53</v>
      </c>
      <c r="H360" s="27"/>
      <c r="I360" s="27"/>
      <c r="J360" s="99"/>
      <c r="K360" s="99"/>
      <c r="L360" s="50" t="s">
        <v>26</v>
      </c>
      <c r="M360" s="34">
        <v>321</v>
      </c>
      <c r="N360" s="31" t="s">
        <v>251</v>
      </c>
      <c r="O360" s="4" t="s">
        <v>29</v>
      </c>
      <c r="P360" s="30"/>
      <c r="Q360" s="30"/>
      <c r="R360" s="30"/>
      <c r="S360" s="28" t="s">
        <v>25</v>
      </c>
      <c r="T360" s="27"/>
      <c r="U360" s="28">
        <v>45054</v>
      </c>
      <c r="V360" s="27"/>
      <c r="W360" s="27"/>
      <c r="X360" s="36"/>
      <c r="Y360" s="10"/>
      <c r="Z360" s="113"/>
      <c r="AA360" s="113"/>
      <c r="AB360" s="113"/>
    </row>
    <row r="361" spans="1:28">
      <c r="A361" s="34">
        <v>322</v>
      </c>
      <c r="B361" s="31" t="s">
        <v>251</v>
      </c>
      <c r="C361" s="29"/>
      <c r="D361" s="30"/>
      <c r="E361" s="4" t="s">
        <v>29</v>
      </c>
      <c r="F361" s="30"/>
      <c r="G361" s="53" t="s">
        <v>53</v>
      </c>
      <c r="H361" s="27"/>
      <c r="I361" s="27"/>
      <c r="J361" s="99"/>
      <c r="K361" s="99"/>
      <c r="L361" s="50" t="s">
        <v>26</v>
      </c>
      <c r="M361" s="34">
        <v>322</v>
      </c>
      <c r="N361" s="31" t="s">
        <v>251</v>
      </c>
      <c r="O361" s="3" t="s">
        <v>24</v>
      </c>
      <c r="P361" s="30"/>
      <c r="Q361" s="30"/>
      <c r="R361" s="30"/>
      <c r="S361" s="28" t="s">
        <v>25</v>
      </c>
      <c r="T361" s="27"/>
      <c r="U361" s="28"/>
      <c r="V361" s="27"/>
      <c r="W361" s="27"/>
      <c r="X361" s="36"/>
      <c r="Y361" s="10"/>
      <c r="Z361" s="113"/>
      <c r="AA361" s="113"/>
      <c r="AB361" s="113"/>
    </row>
    <row r="362" spans="1:28">
      <c r="A362" s="34" t="s">
        <v>261</v>
      </c>
      <c r="B362" s="31" t="s">
        <v>251</v>
      </c>
      <c r="C362" s="3" t="s">
        <v>24</v>
      </c>
      <c r="D362" s="30"/>
      <c r="E362" s="4" t="s">
        <v>29</v>
      </c>
      <c r="F362" s="30"/>
      <c r="G362" s="53" t="s">
        <v>53</v>
      </c>
      <c r="H362" s="27" t="s">
        <v>257</v>
      </c>
      <c r="I362" s="27"/>
      <c r="J362" s="99"/>
      <c r="K362" s="99"/>
      <c r="L362" s="50" t="s">
        <v>26</v>
      </c>
      <c r="M362" s="34" t="s">
        <v>261</v>
      </c>
      <c r="N362" s="31" t="s">
        <v>251</v>
      </c>
      <c r="O362" s="4" t="s">
        <v>29</v>
      </c>
      <c r="P362" s="30"/>
      <c r="Q362" s="30"/>
      <c r="R362" s="30"/>
      <c r="S362" s="28" t="s">
        <v>25</v>
      </c>
      <c r="T362" s="27"/>
      <c r="U362" s="27"/>
      <c r="V362" s="27"/>
      <c r="W362" s="27"/>
      <c r="X362" s="36"/>
      <c r="Y362" s="10"/>
      <c r="Z362" s="113"/>
      <c r="AA362" s="113"/>
      <c r="AB362" s="113"/>
    </row>
    <row r="363" spans="1:28">
      <c r="A363" s="34">
        <v>327</v>
      </c>
      <c r="B363" s="31" t="s">
        <v>251</v>
      </c>
      <c r="C363" s="4" t="s">
        <v>29</v>
      </c>
      <c r="D363" s="30"/>
      <c r="E363" s="4" t="s">
        <v>29</v>
      </c>
      <c r="F363" s="30"/>
      <c r="G363" s="53" t="s">
        <v>53</v>
      </c>
      <c r="H363" s="27" t="s">
        <v>257</v>
      </c>
      <c r="I363" s="27"/>
      <c r="J363" s="99"/>
      <c r="K363" s="99"/>
      <c r="L363" s="50" t="s">
        <v>26</v>
      </c>
      <c r="M363" s="34">
        <v>327</v>
      </c>
      <c r="N363" s="31" t="s">
        <v>251</v>
      </c>
      <c r="O363" s="4" t="s">
        <v>29</v>
      </c>
      <c r="P363" s="30"/>
      <c r="Q363" s="30"/>
      <c r="R363" s="30"/>
      <c r="S363" s="28" t="s">
        <v>25</v>
      </c>
      <c r="T363" s="27"/>
      <c r="U363" s="28">
        <v>45027</v>
      </c>
      <c r="V363" s="27"/>
      <c r="W363" s="28">
        <v>45019</v>
      </c>
      <c r="X363" s="36"/>
      <c r="Y363" s="10"/>
      <c r="Z363" s="113"/>
      <c r="AA363" s="113"/>
      <c r="AB363" s="113"/>
    </row>
    <row r="364" spans="1:28">
      <c r="A364" s="34">
        <v>332</v>
      </c>
      <c r="B364" s="31" t="s">
        <v>251</v>
      </c>
      <c r="C364" s="4" t="s">
        <v>29</v>
      </c>
      <c r="D364" s="30"/>
      <c r="E364" s="4" t="s">
        <v>29</v>
      </c>
      <c r="F364" s="30"/>
      <c r="G364" s="53" t="s">
        <v>53</v>
      </c>
      <c r="H364" s="27"/>
      <c r="I364" s="27"/>
      <c r="J364" s="99"/>
      <c r="K364" s="99"/>
      <c r="L364" s="50" t="s">
        <v>26</v>
      </c>
      <c r="M364" s="34">
        <v>332</v>
      </c>
      <c r="N364" s="31" t="s">
        <v>251</v>
      </c>
      <c r="O364" s="3" t="s">
        <v>24</v>
      </c>
      <c r="P364" s="30"/>
      <c r="Q364" s="30"/>
      <c r="R364" s="30"/>
      <c r="S364" s="28" t="s">
        <v>25</v>
      </c>
      <c r="T364" s="27"/>
      <c r="U364" s="28">
        <v>45044</v>
      </c>
      <c r="V364" s="27"/>
      <c r="W364" s="27"/>
      <c r="X364" s="36"/>
      <c r="Y364" s="10"/>
      <c r="Z364" s="113"/>
      <c r="AA364" s="113"/>
      <c r="AB364" s="113"/>
    </row>
    <row r="365" spans="1:28">
      <c r="A365" s="34">
        <v>335</v>
      </c>
      <c r="B365" s="31" t="s">
        <v>251</v>
      </c>
      <c r="C365" s="3" t="s">
        <v>24</v>
      </c>
      <c r="D365" s="30"/>
      <c r="E365" s="3" t="s">
        <v>24</v>
      </c>
      <c r="F365" s="30"/>
      <c r="G365" s="53" t="s">
        <v>53</v>
      </c>
      <c r="H365" s="27"/>
      <c r="I365" s="27"/>
      <c r="J365" s="99"/>
      <c r="K365" s="99"/>
      <c r="L365" s="50" t="s">
        <v>26</v>
      </c>
      <c r="M365" s="34">
        <v>335</v>
      </c>
      <c r="N365" s="31" t="s">
        <v>251</v>
      </c>
      <c r="O365" s="29"/>
      <c r="P365" s="30"/>
      <c r="Q365" s="30"/>
      <c r="R365" s="30"/>
      <c r="S365" s="28" t="s">
        <v>25</v>
      </c>
      <c r="T365" s="27"/>
      <c r="U365" s="27"/>
      <c r="V365" s="27"/>
      <c r="W365" s="27"/>
      <c r="X365" s="36"/>
      <c r="Y365" s="10"/>
      <c r="Z365" s="113"/>
      <c r="AA365" s="113"/>
      <c r="AB365" s="113"/>
    </row>
    <row r="366" spans="1:28">
      <c r="A366" s="34">
        <v>336</v>
      </c>
      <c r="B366" s="31" t="s">
        <v>251</v>
      </c>
      <c r="C366" s="3" t="s">
        <v>24</v>
      </c>
      <c r="D366" s="30"/>
      <c r="E366" s="3" t="s">
        <v>24</v>
      </c>
      <c r="F366" s="30"/>
      <c r="G366" s="53" t="s">
        <v>53</v>
      </c>
      <c r="H366" s="27"/>
      <c r="I366" s="27"/>
      <c r="J366" s="99"/>
      <c r="K366" s="99"/>
      <c r="L366" s="50" t="s">
        <v>26</v>
      </c>
      <c r="M366" s="34">
        <v>336</v>
      </c>
      <c r="N366" s="31" t="s">
        <v>251</v>
      </c>
      <c r="O366" s="29"/>
      <c r="P366" s="30"/>
      <c r="Q366" s="30"/>
      <c r="R366" s="30"/>
      <c r="S366" s="28" t="s">
        <v>25</v>
      </c>
      <c r="T366" s="27"/>
      <c r="U366" s="27"/>
      <c r="V366" s="27"/>
      <c r="W366" s="27"/>
      <c r="X366" s="36"/>
      <c r="Y366" s="10"/>
      <c r="Z366" s="113"/>
      <c r="AA366" s="113"/>
      <c r="AB366" s="113"/>
    </row>
    <row r="367" spans="1:28">
      <c r="A367" s="34">
        <v>337</v>
      </c>
      <c r="B367" s="31" t="s">
        <v>251</v>
      </c>
      <c r="C367" s="29"/>
      <c r="D367" s="30"/>
      <c r="E367" s="4" t="s">
        <v>29</v>
      </c>
      <c r="F367" s="30"/>
      <c r="G367" s="53" t="s">
        <v>53</v>
      </c>
      <c r="H367" s="27"/>
      <c r="I367" s="27"/>
      <c r="J367" s="99"/>
      <c r="K367" s="99"/>
      <c r="L367" s="50" t="s">
        <v>26</v>
      </c>
      <c r="M367" s="34">
        <v>337</v>
      </c>
      <c r="N367" s="31" t="s">
        <v>251</v>
      </c>
      <c r="O367" s="3" t="s">
        <v>24</v>
      </c>
      <c r="P367" s="30"/>
      <c r="Q367" s="30"/>
      <c r="R367" s="30"/>
      <c r="S367" s="28" t="s">
        <v>25</v>
      </c>
      <c r="T367" s="27"/>
      <c r="U367" s="28">
        <v>45054</v>
      </c>
      <c r="V367" s="27"/>
      <c r="W367" s="27"/>
      <c r="X367" s="36"/>
      <c r="Y367" s="10"/>
      <c r="Z367" s="113"/>
      <c r="AA367" s="113"/>
      <c r="AB367" s="113"/>
    </row>
    <row r="368" spans="1:28">
      <c r="A368" s="150">
        <v>338</v>
      </c>
      <c r="B368" s="31" t="s">
        <v>251</v>
      </c>
      <c r="C368" s="151" t="s">
        <v>24</v>
      </c>
      <c r="D368" s="135"/>
      <c r="E368" s="151" t="s">
        <v>24</v>
      </c>
      <c r="F368" s="135"/>
      <c r="G368" s="152" t="s">
        <v>53</v>
      </c>
      <c r="H368" s="135"/>
      <c r="I368" s="135"/>
      <c r="J368" s="104"/>
      <c r="K368" s="104"/>
      <c r="L368" s="148" t="s">
        <v>26</v>
      </c>
      <c r="M368" s="34">
        <v>338</v>
      </c>
      <c r="N368" s="31" t="s">
        <v>251</v>
      </c>
      <c r="O368" s="3" t="s">
        <v>24</v>
      </c>
      <c r="P368" s="30"/>
      <c r="Q368" s="30"/>
      <c r="R368" s="30"/>
      <c r="S368" s="28" t="s">
        <v>25</v>
      </c>
      <c r="T368" s="27"/>
      <c r="U368" s="28">
        <v>45007</v>
      </c>
      <c r="V368" s="27"/>
      <c r="W368" s="28">
        <v>44993</v>
      </c>
      <c r="X368" s="36"/>
      <c r="Y368" s="10"/>
      <c r="Z368" s="113"/>
      <c r="AA368" s="113"/>
      <c r="AB368" s="113"/>
    </row>
    <row r="369" spans="1:28">
      <c r="A369" s="150"/>
      <c r="B369" s="31" t="s">
        <v>251</v>
      </c>
      <c r="C369" s="151"/>
      <c r="D369" s="135"/>
      <c r="E369" s="151"/>
      <c r="F369" s="135"/>
      <c r="G369" s="152"/>
      <c r="H369" s="135"/>
      <c r="I369" s="135"/>
      <c r="J369" s="104"/>
      <c r="K369" s="104"/>
      <c r="L369" s="148"/>
      <c r="M369" s="34">
        <v>338</v>
      </c>
      <c r="N369" s="31" t="s">
        <v>251</v>
      </c>
      <c r="O369" s="3" t="s">
        <v>24</v>
      </c>
      <c r="P369" s="30"/>
      <c r="Q369" s="30"/>
      <c r="R369" s="30"/>
      <c r="S369" s="28" t="s">
        <v>25</v>
      </c>
      <c r="T369" s="27"/>
      <c r="U369" s="28">
        <v>45007</v>
      </c>
      <c r="V369" s="27"/>
      <c r="W369" s="28">
        <v>44993</v>
      </c>
      <c r="X369" s="37"/>
      <c r="Y369" s="10"/>
      <c r="Z369" s="113"/>
      <c r="AA369" s="113"/>
      <c r="AB369" s="113"/>
    </row>
    <row r="370" spans="1:28">
      <c r="A370" s="34">
        <v>341</v>
      </c>
      <c r="B370" s="31" t="s">
        <v>251</v>
      </c>
      <c r="C370" s="3" t="s">
        <v>24</v>
      </c>
      <c r="D370" s="30"/>
      <c r="E370" s="3" t="s">
        <v>24</v>
      </c>
      <c r="F370" s="30"/>
      <c r="G370" s="53" t="s">
        <v>53</v>
      </c>
      <c r="H370" s="27" t="s">
        <v>257</v>
      </c>
      <c r="I370" s="28"/>
      <c r="J370" s="99"/>
      <c r="K370" s="99"/>
      <c r="L370" s="50" t="s">
        <v>26</v>
      </c>
      <c r="M370" s="34">
        <v>341</v>
      </c>
      <c r="N370" s="32" t="s">
        <v>251</v>
      </c>
      <c r="O370" s="3" t="s">
        <v>24</v>
      </c>
      <c r="P370" s="30"/>
      <c r="Q370" s="30"/>
      <c r="R370" s="30"/>
      <c r="S370" s="28" t="s">
        <v>25</v>
      </c>
      <c r="T370" s="27"/>
      <c r="U370" s="28">
        <v>45019</v>
      </c>
      <c r="V370" s="27"/>
      <c r="W370" s="28">
        <v>45014</v>
      </c>
      <c r="X370" s="36"/>
      <c r="Y370" s="10"/>
      <c r="Z370" s="113"/>
      <c r="AA370" s="113"/>
      <c r="AB370" s="113"/>
    </row>
    <row r="371" spans="1:28">
      <c r="A371" s="34">
        <v>343</v>
      </c>
      <c r="B371" s="31" t="s">
        <v>251</v>
      </c>
      <c r="C371" s="3" t="s">
        <v>24</v>
      </c>
      <c r="D371" s="30"/>
      <c r="E371" s="3" t="s">
        <v>24</v>
      </c>
      <c r="F371" s="30"/>
      <c r="G371" s="53" t="s">
        <v>53</v>
      </c>
      <c r="H371" s="27"/>
      <c r="I371" s="27"/>
      <c r="J371" s="99"/>
      <c r="K371" s="99"/>
      <c r="L371" s="50" t="s">
        <v>26</v>
      </c>
      <c r="M371" s="34">
        <v>343</v>
      </c>
      <c r="N371" s="32" t="s">
        <v>251</v>
      </c>
      <c r="O371" s="4" t="s">
        <v>29</v>
      </c>
      <c r="P371" s="30"/>
      <c r="Q371" s="30"/>
      <c r="R371" s="30"/>
      <c r="S371" s="28" t="s">
        <v>25</v>
      </c>
      <c r="T371" s="27"/>
      <c r="U371" s="27"/>
      <c r="V371" s="27"/>
      <c r="W371" s="27"/>
      <c r="X371" s="36"/>
      <c r="Y371" s="10"/>
      <c r="Z371" s="113"/>
      <c r="AA371" s="113"/>
      <c r="AB371" s="113"/>
    </row>
    <row r="372" spans="1:28">
      <c r="A372" s="34">
        <v>344</v>
      </c>
      <c r="B372" s="31" t="s">
        <v>251</v>
      </c>
      <c r="C372" s="3" t="s">
        <v>24</v>
      </c>
      <c r="D372" s="30"/>
      <c r="E372" s="3" t="s">
        <v>24</v>
      </c>
      <c r="F372" s="30"/>
      <c r="G372" s="53" t="s">
        <v>53</v>
      </c>
      <c r="H372" s="27"/>
      <c r="I372" s="28"/>
      <c r="J372" s="99"/>
      <c r="K372" s="99"/>
      <c r="L372" s="50" t="s">
        <v>26</v>
      </c>
      <c r="M372" s="34">
        <v>344</v>
      </c>
      <c r="N372" s="32" t="s">
        <v>251</v>
      </c>
      <c r="O372" s="29"/>
      <c r="P372" s="30"/>
      <c r="Q372" s="30"/>
      <c r="R372" s="30"/>
      <c r="S372" s="28" t="s">
        <v>25</v>
      </c>
      <c r="T372" s="27"/>
      <c r="U372" s="27"/>
      <c r="V372" s="27"/>
      <c r="W372" s="28"/>
      <c r="X372" s="36"/>
      <c r="Y372" s="10"/>
      <c r="Z372" s="113"/>
      <c r="AA372" s="113"/>
      <c r="AB372" s="113"/>
    </row>
    <row r="373" spans="1:28">
      <c r="A373" s="34">
        <v>345</v>
      </c>
      <c r="B373" s="31" t="s">
        <v>251</v>
      </c>
      <c r="C373" s="3" t="s">
        <v>24</v>
      </c>
      <c r="D373" s="30"/>
      <c r="E373" s="3" t="s">
        <v>24</v>
      </c>
      <c r="F373" s="30"/>
      <c r="G373" s="53" t="s">
        <v>53</v>
      </c>
      <c r="H373" s="28"/>
      <c r="I373" s="28"/>
      <c r="J373" s="99"/>
      <c r="K373" s="99"/>
      <c r="L373" s="50" t="s">
        <v>26</v>
      </c>
      <c r="M373" s="34">
        <v>345</v>
      </c>
      <c r="N373" s="32" t="s">
        <v>251</v>
      </c>
      <c r="O373" s="29"/>
      <c r="P373" s="30"/>
      <c r="Q373" s="30"/>
      <c r="R373" s="30"/>
      <c r="S373" s="28" t="s">
        <v>25</v>
      </c>
      <c r="T373" s="27"/>
      <c r="U373" s="28">
        <v>45033</v>
      </c>
      <c r="V373" s="27"/>
      <c r="W373" s="27"/>
      <c r="X373" s="37"/>
      <c r="Y373" s="10"/>
      <c r="Z373" s="113"/>
      <c r="AA373" s="113"/>
      <c r="AB373" s="113"/>
    </row>
    <row r="374" spans="1:28">
      <c r="A374" s="34">
        <v>347</v>
      </c>
      <c r="B374" s="31" t="s">
        <v>251</v>
      </c>
      <c r="C374" s="3" t="s">
        <v>24</v>
      </c>
      <c r="D374" s="30"/>
      <c r="E374" s="3" t="s">
        <v>24</v>
      </c>
      <c r="F374" s="30"/>
      <c r="G374" s="53" t="s">
        <v>53</v>
      </c>
      <c r="H374" s="27"/>
      <c r="I374" s="27"/>
      <c r="J374" s="99"/>
      <c r="K374" s="99"/>
      <c r="L374" s="50" t="s">
        <v>26</v>
      </c>
      <c r="M374" s="34">
        <v>347</v>
      </c>
      <c r="N374" s="32" t="s">
        <v>251</v>
      </c>
      <c r="O374" s="3" t="s">
        <v>24</v>
      </c>
      <c r="P374" s="30"/>
      <c r="Q374" s="30"/>
      <c r="R374" s="30"/>
      <c r="S374" s="28" t="s">
        <v>25</v>
      </c>
      <c r="T374" s="27"/>
      <c r="U374" s="28">
        <v>45007</v>
      </c>
      <c r="V374" s="27"/>
      <c r="W374" s="28">
        <v>44998</v>
      </c>
      <c r="X374" s="36"/>
      <c r="Y374" s="10"/>
      <c r="Z374" s="113"/>
      <c r="AA374" s="113"/>
      <c r="AB374" s="113"/>
    </row>
    <row r="375" spans="1:28">
      <c r="A375" s="34">
        <v>352</v>
      </c>
      <c r="B375" s="31" t="s">
        <v>251</v>
      </c>
      <c r="C375" s="3" t="s">
        <v>24</v>
      </c>
      <c r="D375" s="30"/>
      <c r="E375" s="3" t="s">
        <v>24</v>
      </c>
      <c r="F375" s="30"/>
      <c r="G375" s="53" t="s">
        <v>53</v>
      </c>
      <c r="H375" s="27" t="s">
        <v>257</v>
      </c>
      <c r="I375" s="28"/>
      <c r="J375" s="99"/>
      <c r="K375" s="99"/>
      <c r="L375" s="50" t="s">
        <v>26</v>
      </c>
      <c r="M375" s="34">
        <v>352</v>
      </c>
      <c r="N375" s="32" t="s">
        <v>251</v>
      </c>
      <c r="O375" s="3" t="s">
        <v>24</v>
      </c>
      <c r="P375" s="30"/>
      <c r="Q375" s="30"/>
      <c r="R375" s="30"/>
      <c r="S375" s="28" t="s">
        <v>25</v>
      </c>
      <c r="T375" s="27"/>
      <c r="U375" s="28">
        <v>45013</v>
      </c>
      <c r="V375" s="27"/>
      <c r="W375" s="28">
        <v>45012</v>
      </c>
      <c r="X375" s="36"/>
      <c r="Y375" s="10"/>
      <c r="Z375" s="113"/>
      <c r="AA375" s="113"/>
      <c r="AB375" s="113"/>
    </row>
    <row r="376" spans="1:28">
      <c r="A376" s="34">
        <v>353</v>
      </c>
      <c r="B376" s="31" t="s">
        <v>251</v>
      </c>
      <c r="C376" s="3" t="s">
        <v>24</v>
      </c>
      <c r="D376" s="30"/>
      <c r="E376" s="3" t="s">
        <v>24</v>
      </c>
      <c r="F376" s="30"/>
      <c r="G376" s="53" t="s">
        <v>53</v>
      </c>
      <c r="H376" s="27"/>
      <c r="I376" s="27"/>
      <c r="J376" s="99"/>
      <c r="K376" s="99"/>
      <c r="L376" s="50" t="s">
        <v>26</v>
      </c>
      <c r="M376" s="34">
        <v>353</v>
      </c>
      <c r="N376" s="32" t="s">
        <v>251</v>
      </c>
      <c r="O376" s="3" t="s">
        <v>24</v>
      </c>
      <c r="P376" s="30"/>
      <c r="Q376" s="30"/>
      <c r="R376" s="30"/>
      <c r="S376" s="28" t="s">
        <v>25</v>
      </c>
      <c r="T376" s="27"/>
      <c r="U376" s="28">
        <v>45051</v>
      </c>
      <c r="V376" s="27"/>
      <c r="W376" s="27"/>
      <c r="X376" s="36"/>
      <c r="Y376" s="10"/>
      <c r="Z376" s="113"/>
      <c r="AA376" s="113"/>
      <c r="AB376" s="113"/>
    </row>
    <row r="377" spans="1:28">
      <c r="A377" s="34">
        <v>354</v>
      </c>
      <c r="B377" s="31" t="s">
        <v>251</v>
      </c>
      <c r="C377" s="4" t="s">
        <v>29</v>
      </c>
      <c r="D377" s="30"/>
      <c r="E377" s="4" t="s">
        <v>29</v>
      </c>
      <c r="F377" s="30"/>
      <c r="G377" s="53" t="s">
        <v>53</v>
      </c>
      <c r="H377" s="27"/>
      <c r="I377" s="28"/>
      <c r="J377" s="99"/>
      <c r="K377" s="99"/>
      <c r="L377" s="50" t="s">
        <v>26</v>
      </c>
      <c r="M377" s="34">
        <v>354</v>
      </c>
      <c r="N377" s="32" t="s">
        <v>251</v>
      </c>
      <c r="O377" s="3" t="s">
        <v>24</v>
      </c>
      <c r="P377" s="30"/>
      <c r="Q377" s="30"/>
      <c r="R377" s="30"/>
      <c r="S377" s="28" t="s">
        <v>25</v>
      </c>
      <c r="T377" s="27"/>
      <c r="U377" s="28">
        <v>45014</v>
      </c>
      <c r="V377" s="27"/>
      <c r="W377" s="28">
        <v>45010</v>
      </c>
      <c r="X377" s="36"/>
      <c r="Y377" s="10"/>
      <c r="Z377" s="113"/>
      <c r="AA377" s="113"/>
      <c r="AB377" s="113"/>
    </row>
    <row r="378" spans="1:28">
      <c r="A378" s="34">
        <v>356</v>
      </c>
      <c r="B378" s="31" t="s">
        <v>251</v>
      </c>
      <c r="C378" s="3" t="s">
        <v>24</v>
      </c>
      <c r="D378" s="30"/>
      <c r="E378" s="3" t="s">
        <v>24</v>
      </c>
      <c r="F378" s="30"/>
      <c r="G378" s="53" t="s">
        <v>53</v>
      </c>
      <c r="H378" s="27" t="s">
        <v>257</v>
      </c>
      <c r="I378" s="27"/>
      <c r="J378" s="99"/>
      <c r="K378" s="99"/>
      <c r="L378" s="50" t="s">
        <v>26</v>
      </c>
      <c r="M378" s="34">
        <v>356</v>
      </c>
      <c r="N378" s="32" t="s">
        <v>251</v>
      </c>
      <c r="O378" s="29"/>
      <c r="P378" s="30"/>
      <c r="Q378" s="30"/>
      <c r="R378" s="30"/>
      <c r="S378" s="28" t="s">
        <v>25</v>
      </c>
      <c r="T378" s="27"/>
      <c r="U378" s="27"/>
      <c r="V378" s="27"/>
      <c r="W378" s="27"/>
      <c r="X378" s="36"/>
      <c r="Y378" s="10"/>
      <c r="Z378" s="113"/>
      <c r="AA378" s="113"/>
      <c r="AB378" s="113"/>
    </row>
    <row r="379" spans="1:28">
      <c r="A379" s="34">
        <v>357</v>
      </c>
      <c r="B379" s="31" t="s">
        <v>251</v>
      </c>
      <c r="C379" s="4" t="s">
        <v>29</v>
      </c>
      <c r="D379" s="30"/>
      <c r="E379" s="4" t="s">
        <v>29</v>
      </c>
      <c r="F379" s="30"/>
      <c r="G379" s="53" t="s">
        <v>53</v>
      </c>
      <c r="H379" s="27"/>
      <c r="I379" s="27"/>
      <c r="J379" s="99"/>
      <c r="K379" s="99"/>
      <c r="L379" s="50" t="s">
        <v>26</v>
      </c>
      <c r="M379" s="34">
        <v>357</v>
      </c>
      <c r="N379" s="32" t="s">
        <v>251</v>
      </c>
      <c r="O379" s="29"/>
      <c r="P379" s="30"/>
      <c r="Q379" s="30"/>
      <c r="R379" s="30"/>
      <c r="S379" s="28" t="s">
        <v>25</v>
      </c>
      <c r="T379" s="27"/>
      <c r="U379" s="27"/>
      <c r="V379" s="27"/>
      <c r="W379" s="27"/>
      <c r="X379" s="36"/>
      <c r="Y379" s="10"/>
      <c r="Z379" s="113"/>
      <c r="AA379" s="113"/>
      <c r="AB379" s="113"/>
    </row>
    <row r="380" spans="1:28">
      <c r="A380" s="34">
        <v>360</v>
      </c>
      <c r="B380" s="31" t="s">
        <v>251</v>
      </c>
      <c r="C380" s="3" t="s">
        <v>24</v>
      </c>
      <c r="D380" s="30"/>
      <c r="E380" s="3" t="s">
        <v>24</v>
      </c>
      <c r="F380" s="30"/>
      <c r="G380" s="53" t="s">
        <v>53</v>
      </c>
      <c r="H380" s="27"/>
      <c r="I380" s="28"/>
      <c r="J380" s="99"/>
      <c r="K380" s="99"/>
      <c r="L380" s="50" t="s">
        <v>26</v>
      </c>
      <c r="M380" s="34">
        <v>360</v>
      </c>
      <c r="N380" s="32" t="s">
        <v>251</v>
      </c>
      <c r="O380" s="29"/>
      <c r="P380" s="30"/>
      <c r="Q380" s="30"/>
      <c r="R380" s="30"/>
      <c r="S380" s="28" t="s">
        <v>25</v>
      </c>
      <c r="T380" s="27"/>
      <c r="U380" s="27"/>
      <c r="V380" s="27"/>
      <c r="W380" s="28"/>
      <c r="X380" s="36"/>
      <c r="Y380" s="10"/>
      <c r="Z380" s="113"/>
      <c r="AA380" s="113"/>
      <c r="AB380" s="113"/>
    </row>
    <row r="381" spans="1:28">
      <c r="A381" s="34">
        <v>363</v>
      </c>
      <c r="B381" s="31" t="s">
        <v>251</v>
      </c>
      <c r="C381" s="29"/>
      <c r="D381" s="30"/>
      <c r="E381" s="4" t="s">
        <v>29</v>
      </c>
      <c r="F381" s="30"/>
      <c r="G381" s="53" t="s">
        <v>53</v>
      </c>
      <c r="H381" s="27" t="s">
        <v>257</v>
      </c>
      <c r="I381" s="28"/>
      <c r="J381" s="99"/>
      <c r="K381" s="99"/>
      <c r="L381" s="50" t="s">
        <v>26</v>
      </c>
      <c r="M381" s="34">
        <v>363</v>
      </c>
      <c r="N381" s="32" t="s">
        <v>251</v>
      </c>
      <c r="O381" s="3" t="s">
        <v>24</v>
      </c>
      <c r="P381" s="30"/>
      <c r="Q381" s="30"/>
      <c r="R381" s="30"/>
      <c r="S381" s="28" t="s">
        <v>25</v>
      </c>
      <c r="T381" s="27"/>
      <c r="U381" s="28">
        <v>45054</v>
      </c>
      <c r="V381" s="27"/>
      <c r="W381" s="28"/>
      <c r="X381" s="36"/>
      <c r="Y381" s="10"/>
      <c r="Z381" s="113"/>
      <c r="AA381" s="113"/>
      <c r="AB381" s="113"/>
    </row>
    <row r="382" spans="1:28">
      <c r="A382" s="34">
        <v>366</v>
      </c>
      <c r="B382" s="31" t="s">
        <v>251</v>
      </c>
      <c r="C382" s="4" t="s">
        <v>29</v>
      </c>
      <c r="D382" s="30"/>
      <c r="E382" s="4" t="s">
        <v>29</v>
      </c>
      <c r="F382" s="30"/>
      <c r="G382" s="53" t="s">
        <v>53</v>
      </c>
      <c r="H382" s="27"/>
      <c r="I382" s="27"/>
      <c r="J382" s="99"/>
      <c r="K382" s="99"/>
      <c r="L382" s="50" t="s">
        <v>26</v>
      </c>
      <c r="M382" s="34">
        <v>366</v>
      </c>
      <c r="N382" s="32" t="s">
        <v>251</v>
      </c>
      <c r="O382" s="29"/>
      <c r="P382" s="30"/>
      <c r="Q382" s="30"/>
      <c r="R382" s="30"/>
      <c r="S382" s="28" t="s">
        <v>25</v>
      </c>
      <c r="T382" s="27"/>
      <c r="U382" s="28">
        <v>45008</v>
      </c>
      <c r="V382" s="27"/>
      <c r="W382" s="27"/>
      <c r="X382" s="36"/>
      <c r="Y382" s="10"/>
      <c r="Z382" s="113"/>
      <c r="AA382" s="113"/>
      <c r="AB382" s="113"/>
    </row>
    <row r="383" spans="1:28">
      <c r="A383" s="34">
        <v>369</v>
      </c>
      <c r="B383" s="31" t="s">
        <v>251</v>
      </c>
      <c r="C383" s="3" t="s">
        <v>24</v>
      </c>
      <c r="D383" s="30"/>
      <c r="E383" s="3" t="s">
        <v>24</v>
      </c>
      <c r="F383" s="30"/>
      <c r="G383" s="53" t="s">
        <v>53</v>
      </c>
      <c r="H383" s="28"/>
      <c r="I383" s="28"/>
      <c r="J383" s="99"/>
      <c r="K383" s="99"/>
      <c r="L383" s="50" t="s">
        <v>26</v>
      </c>
      <c r="M383" s="34">
        <v>369</v>
      </c>
      <c r="N383" s="32" t="s">
        <v>251</v>
      </c>
      <c r="O383" s="3" t="s">
        <v>24</v>
      </c>
      <c r="P383" s="30"/>
      <c r="Q383" s="30"/>
      <c r="R383" s="30"/>
      <c r="S383" s="28" t="s">
        <v>25</v>
      </c>
      <c r="T383" s="27"/>
      <c r="U383" s="28">
        <v>45030</v>
      </c>
      <c r="V383" s="27"/>
      <c r="W383" s="27"/>
      <c r="X383" s="37"/>
      <c r="Y383" s="10"/>
      <c r="Z383" s="113"/>
      <c r="AA383" s="113"/>
      <c r="AB383" s="113"/>
    </row>
    <row r="384" spans="1:28">
      <c r="A384" s="34">
        <v>370</v>
      </c>
      <c r="B384" s="31" t="s">
        <v>251</v>
      </c>
      <c r="C384" s="4" t="s">
        <v>29</v>
      </c>
      <c r="D384" s="30"/>
      <c r="E384" s="4" t="s">
        <v>29</v>
      </c>
      <c r="F384" s="30"/>
      <c r="G384" s="53" t="s">
        <v>53</v>
      </c>
      <c r="H384" s="27"/>
      <c r="I384" s="27"/>
      <c r="J384" s="99"/>
      <c r="K384" s="99"/>
      <c r="L384" s="50" t="s">
        <v>26</v>
      </c>
      <c r="M384" s="34">
        <v>370</v>
      </c>
      <c r="N384" s="32" t="s">
        <v>251</v>
      </c>
      <c r="O384" s="4" t="s">
        <v>29</v>
      </c>
      <c r="P384" s="30"/>
      <c r="Q384" s="30"/>
      <c r="R384" s="30"/>
      <c r="S384" s="28" t="s">
        <v>25</v>
      </c>
      <c r="T384" s="27"/>
      <c r="U384" s="28">
        <v>45037</v>
      </c>
      <c r="V384" s="27"/>
      <c r="W384" s="27"/>
      <c r="X384" s="36" t="s">
        <v>254</v>
      </c>
      <c r="Y384" s="10" t="s">
        <v>251</v>
      </c>
      <c r="Z384" s="4" t="s">
        <v>29</v>
      </c>
      <c r="AA384" s="113"/>
      <c r="AB384" s="113"/>
    </row>
    <row r="385" spans="1:28">
      <c r="A385" s="34">
        <v>379</v>
      </c>
      <c r="B385" s="31" t="s">
        <v>251</v>
      </c>
      <c r="C385" s="4" t="s">
        <v>29</v>
      </c>
      <c r="D385" s="30"/>
      <c r="E385" s="4" t="s">
        <v>29</v>
      </c>
      <c r="F385" s="30"/>
      <c r="G385" s="53" t="s">
        <v>53</v>
      </c>
      <c r="H385" s="27" t="s">
        <v>257</v>
      </c>
      <c r="I385" s="28"/>
      <c r="J385" s="99"/>
      <c r="K385" s="99"/>
      <c r="L385" s="50" t="s">
        <v>26</v>
      </c>
      <c r="M385" s="34">
        <v>379</v>
      </c>
      <c r="N385" s="32" t="s">
        <v>251</v>
      </c>
      <c r="O385" s="3" t="s">
        <v>24</v>
      </c>
      <c r="P385" s="30"/>
      <c r="Q385" s="30"/>
      <c r="R385" s="30"/>
      <c r="S385" s="28" t="s">
        <v>25</v>
      </c>
      <c r="T385" s="27"/>
      <c r="U385" s="28">
        <v>45012</v>
      </c>
      <c r="V385" s="27"/>
      <c r="W385" s="28">
        <v>45009</v>
      </c>
      <c r="X385" s="36"/>
      <c r="Y385" s="10"/>
      <c r="Z385" s="113"/>
      <c r="AA385" s="113"/>
      <c r="AB385" s="113"/>
    </row>
    <row r="386" spans="1:28">
      <c r="A386" s="34">
        <v>388</v>
      </c>
      <c r="B386" s="31" t="s">
        <v>251</v>
      </c>
      <c r="C386" s="29"/>
      <c r="D386" s="30"/>
      <c r="E386" s="3" t="s">
        <v>24</v>
      </c>
      <c r="F386" s="30"/>
      <c r="G386" s="53" t="s">
        <v>53</v>
      </c>
      <c r="H386" s="27"/>
      <c r="I386" s="28"/>
      <c r="J386" s="99"/>
      <c r="K386" s="99"/>
      <c r="L386" s="50" t="s">
        <v>26</v>
      </c>
      <c r="M386" s="34">
        <v>388</v>
      </c>
      <c r="N386" s="32" t="s">
        <v>251</v>
      </c>
      <c r="O386" s="4" t="s">
        <v>29</v>
      </c>
      <c r="P386" s="30"/>
      <c r="Q386" s="30"/>
      <c r="R386" s="30"/>
      <c r="S386" s="28" t="s">
        <v>25</v>
      </c>
      <c r="T386" s="27"/>
      <c r="U386" s="27"/>
      <c r="V386" s="27"/>
      <c r="W386" s="28"/>
      <c r="X386" s="37"/>
      <c r="Y386" s="10"/>
      <c r="Z386" s="113"/>
      <c r="AA386" s="113"/>
      <c r="AB386" s="113"/>
    </row>
    <row r="387" spans="1:28">
      <c r="A387" s="34" t="s">
        <v>262</v>
      </c>
      <c r="B387" s="31" t="s">
        <v>251</v>
      </c>
      <c r="C387" s="4" t="s">
        <v>29</v>
      </c>
      <c r="D387" s="30"/>
      <c r="E387" s="4" t="s">
        <v>29</v>
      </c>
      <c r="F387" s="30"/>
      <c r="G387" s="53" t="s">
        <v>53</v>
      </c>
      <c r="H387" s="28"/>
      <c r="I387" s="28"/>
      <c r="J387" s="99"/>
      <c r="K387" s="99"/>
      <c r="L387" s="50" t="s">
        <v>26</v>
      </c>
      <c r="M387" s="34" t="s">
        <v>262</v>
      </c>
      <c r="N387" s="32" t="s">
        <v>251</v>
      </c>
      <c r="O387" s="4" t="s">
        <v>29</v>
      </c>
      <c r="P387" s="30"/>
      <c r="Q387" s="30"/>
      <c r="R387" s="30"/>
      <c r="S387" s="28" t="s">
        <v>25</v>
      </c>
      <c r="T387" s="28"/>
      <c r="U387" s="28">
        <v>45027</v>
      </c>
      <c r="V387" s="28"/>
      <c r="W387" s="28">
        <v>45025</v>
      </c>
      <c r="X387" s="37"/>
      <c r="Y387" s="10"/>
      <c r="Z387" s="113"/>
      <c r="AA387" s="113"/>
      <c r="AB387" s="113"/>
    </row>
    <row r="388" spans="1:28">
      <c r="A388" s="34">
        <v>389</v>
      </c>
      <c r="B388" s="31" t="s">
        <v>251</v>
      </c>
      <c r="C388" s="3" t="s">
        <v>24</v>
      </c>
      <c r="D388" s="30"/>
      <c r="E388" s="3" t="s">
        <v>24</v>
      </c>
      <c r="F388" s="30"/>
      <c r="G388" s="53" t="s">
        <v>53</v>
      </c>
      <c r="H388" s="28" t="s">
        <v>257</v>
      </c>
      <c r="I388" s="28"/>
      <c r="J388" s="99"/>
      <c r="K388" s="99"/>
      <c r="L388" s="50" t="s">
        <v>26</v>
      </c>
      <c r="M388" s="34">
        <v>389</v>
      </c>
      <c r="N388" s="32" t="s">
        <v>251</v>
      </c>
      <c r="O388" s="3" t="s">
        <v>24</v>
      </c>
      <c r="P388" s="30"/>
      <c r="Q388" s="30"/>
      <c r="R388" s="30"/>
      <c r="S388" s="28" t="s">
        <v>25</v>
      </c>
      <c r="T388" s="27"/>
      <c r="U388" s="28">
        <v>45027</v>
      </c>
      <c r="V388" s="27"/>
      <c r="W388" s="28">
        <v>45026</v>
      </c>
      <c r="X388" s="37"/>
      <c r="Y388" s="10"/>
      <c r="Z388" s="113"/>
      <c r="AA388" s="113"/>
      <c r="AB388" s="113"/>
    </row>
    <row r="389" spans="1:28">
      <c r="A389" s="34" t="s">
        <v>263</v>
      </c>
      <c r="B389" s="31" t="s">
        <v>251</v>
      </c>
      <c r="C389" s="29"/>
      <c r="D389" s="30"/>
      <c r="E389" s="4" t="s">
        <v>29</v>
      </c>
      <c r="F389" s="30"/>
      <c r="G389" s="53" t="s">
        <v>53</v>
      </c>
      <c r="H389" s="27"/>
      <c r="I389" s="27"/>
      <c r="J389" s="99"/>
      <c r="K389" s="99"/>
      <c r="L389" s="50" t="s">
        <v>26</v>
      </c>
      <c r="M389" s="34" t="s">
        <v>263</v>
      </c>
      <c r="N389" s="32" t="s">
        <v>251</v>
      </c>
      <c r="O389" s="3" t="s">
        <v>24</v>
      </c>
      <c r="P389" s="30"/>
      <c r="Q389" s="30"/>
      <c r="R389" s="30"/>
      <c r="S389" s="28" t="s">
        <v>25</v>
      </c>
      <c r="T389" s="27"/>
      <c r="U389" s="28">
        <v>45054</v>
      </c>
      <c r="V389" s="27"/>
      <c r="W389" s="27"/>
      <c r="X389" s="36"/>
      <c r="Y389" s="10"/>
      <c r="Z389" s="113"/>
      <c r="AA389" s="113"/>
      <c r="AB389" s="113"/>
    </row>
    <row r="390" spans="1:28">
      <c r="A390" s="34">
        <v>398</v>
      </c>
      <c r="B390" s="31" t="s">
        <v>251</v>
      </c>
      <c r="C390" s="4" t="s">
        <v>29</v>
      </c>
      <c r="D390" s="30"/>
      <c r="E390" s="4" t="s">
        <v>29</v>
      </c>
      <c r="F390" s="30"/>
      <c r="G390" s="53" t="s">
        <v>53</v>
      </c>
      <c r="H390" s="27"/>
      <c r="I390" s="27"/>
      <c r="J390" s="99"/>
      <c r="K390" s="99"/>
      <c r="L390" s="123"/>
      <c r="M390" s="8"/>
      <c r="N390" s="32"/>
      <c r="O390" s="113"/>
      <c r="P390" s="113"/>
      <c r="Q390" s="113"/>
      <c r="R390" s="113"/>
      <c r="S390" s="113"/>
      <c r="T390" s="27"/>
      <c r="U390" s="27"/>
      <c r="V390" s="27"/>
      <c r="W390" s="28"/>
      <c r="X390" s="36"/>
      <c r="Y390" s="10"/>
      <c r="Z390" s="113"/>
      <c r="AA390" s="113"/>
      <c r="AB390" s="113"/>
    </row>
    <row r="391" spans="1:28">
      <c r="A391" s="34">
        <v>401</v>
      </c>
      <c r="B391" s="31" t="s">
        <v>251</v>
      </c>
      <c r="C391" s="3" t="s">
        <v>24</v>
      </c>
      <c r="D391" s="30"/>
      <c r="E391" s="3" t="s">
        <v>24</v>
      </c>
      <c r="F391" s="30"/>
      <c r="G391" s="53" t="s">
        <v>53</v>
      </c>
      <c r="H391" s="27"/>
      <c r="I391" s="27"/>
      <c r="J391" s="99"/>
      <c r="K391" s="99"/>
      <c r="L391" s="50" t="s">
        <v>26</v>
      </c>
      <c r="M391" s="34">
        <v>401</v>
      </c>
      <c r="N391" s="32" t="s">
        <v>251</v>
      </c>
      <c r="O391" s="29"/>
      <c r="P391" s="30"/>
      <c r="Q391" s="30"/>
      <c r="R391" s="30"/>
      <c r="S391" s="28" t="s">
        <v>25</v>
      </c>
      <c r="T391" s="27"/>
      <c r="U391" s="27"/>
      <c r="V391" s="27"/>
      <c r="W391" s="27"/>
      <c r="X391" s="36"/>
      <c r="Y391" s="10"/>
      <c r="Z391" s="113"/>
      <c r="AA391" s="113"/>
      <c r="AB391" s="113"/>
    </row>
    <row r="392" spans="1:28">
      <c r="A392" s="34">
        <v>402</v>
      </c>
      <c r="B392" s="31" t="s">
        <v>251</v>
      </c>
      <c r="C392" s="29"/>
      <c r="D392" s="30"/>
      <c r="E392" s="4" t="s">
        <v>29</v>
      </c>
      <c r="F392" s="30"/>
      <c r="G392" s="53" t="s">
        <v>53</v>
      </c>
      <c r="H392" s="27"/>
      <c r="I392" s="27"/>
      <c r="J392" s="99"/>
      <c r="K392" s="99"/>
      <c r="L392" s="50" t="s">
        <v>26</v>
      </c>
      <c r="M392" s="34">
        <v>402</v>
      </c>
      <c r="N392" s="32" t="s">
        <v>251</v>
      </c>
      <c r="O392" s="3" t="s">
        <v>24</v>
      </c>
      <c r="P392" s="30"/>
      <c r="Q392" s="30"/>
      <c r="R392" s="30"/>
      <c r="S392" s="28" t="s">
        <v>25</v>
      </c>
      <c r="T392" s="27"/>
      <c r="U392" s="28">
        <v>45037</v>
      </c>
      <c r="V392" s="27"/>
      <c r="W392" s="27"/>
      <c r="X392" s="36"/>
      <c r="Y392" s="10"/>
      <c r="Z392" s="113"/>
      <c r="AA392" s="113"/>
      <c r="AB392" s="113"/>
    </row>
    <row r="393" spans="1:28">
      <c r="A393" s="34">
        <v>403</v>
      </c>
      <c r="B393" s="31" t="s">
        <v>251</v>
      </c>
      <c r="C393" s="3" t="s">
        <v>24</v>
      </c>
      <c r="D393" s="30"/>
      <c r="E393" s="3" t="s">
        <v>24</v>
      </c>
      <c r="F393" s="30"/>
      <c r="G393" s="53" t="s">
        <v>53</v>
      </c>
      <c r="H393" s="27"/>
      <c r="I393" s="27"/>
      <c r="J393" s="99"/>
      <c r="K393" s="99"/>
      <c r="L393" s="50" t="s">
        <v>26</v>
      </c>
      <c r="M393" s="34">
        <v>403</v>
      </c>
      <c r="N393" s="32" t="s">
        <v>251</v>
      </c>
      <c r="O393" s="4" t="s">
        <v>29</v>
      </c>
      <c r="P393" s="30"/>
      <c r="Q393" s="30"/>
      <c r="R393" s="30"/>
      <c r="S393" s="28" t="s">
        <v>25</v>
      </c>
      <c r="T393" s="27"/>
      <c r="U393" s="28">
        <v>45007</v>
      </c>
      <c r="V393" s="27"/>
      <c r="W393" s="28">
        <v>45002</v>
      </c>
      <c r="X393" s="36"/>
      <c r="Y393" s="10"/>
      <c r="Z393" s="113"/>
      <c r="AA393" s="113"/>
      <c r="AB393" s="113"/>
    </row>
    <row r="394" spans="1:28">
      <c r="A394" s="34">
        <v>405</v>
      </c>
      <c r="B394" s="31" t="s">
        <v>251</v>
      </c>
      <c r="C394" s="3" t="s">
        <v>24</v>
      </c>
      <c r="D394" s="30"/>
      <c r="E394" s="3" t="s">
        <v>24</v>
      </c>
      <c r="F394" s="30"/>
      <c r="G394" s="53" t="s">
        <v>53</v>
      </c>
      <c r="H394" s="27"/>
      <c r="I394" s="27"/>
      <c r="J394" s="99"/>
      <c r="K394" s="99"/>
      <c r="L394" s="50" t="s">
        <v>26</v>
      </c>
      <c r="M394" s="34">
        <v>405</v>
      </c>
      <c r="N394" s="32" t="s">
        <v>251</v>
      </c>
      <c r="O394" s="3" t="s">
        <v>24</v>
      </c>
      <c r="P394" s="30"/>
      <c r="Q394" s="30"/>
      <c r="R394" s="30"/>
      <c r="S394" s="28" t="s">
        <v>25</v>
      </c>
      <c r="T394" s="27"/>
      <c r="U394" s="28">
        <v>45044</v>
      </c>
      <c r="V394" s="27"/>
      <c r="W394" s="27"/>
      <c r="X394" s="36"/>
      <c r="Y394" s="10"/>
      <c r="Z394" s="113"/>
      <c r="AA394" s="113"/>
      <c r="AB394" s="113"/>
    </row>
    <row r="395" spans="1:28">
      <c r="A395" s="34">
        <v>406</v>
      </c>
      <c r="B395" s="31" t="s">
        <v>251</v>
      </c>
      <c r="C395" s="3" t="s">
        <v>24</v>
      </c>
      <c r="D395" s="30"/>
      <c r="E395" s="3" t="s">
        <v>24</v>
      </c>
      <c r="F395" s="30"/>
      <c r="G395" s="53" t="s">
        <v>53</v>
      </c>
      <c r="H395" s="27"/>
      <c r="I395" s="27"/>
      <c r="J395" s="99"/>
      <c r="K395" s="99"/>
      <c r="L395" s="50" t="s">
        <v>26</v>
      </c>
      <c r="M395" s="34">
        <v>406</v>
      </c>
      <c r="N395" s="32" t="s">
        <v>251</v>
      </c>
      <c r="O395" s="3" t="s">
        <v>24</v>
      </c>
      <c r="P395" s="30"/>
      <c r="Q395" s="30"/>
      <c r="R395" s="30"/>
      <c r="S395" s="28" t="s">
        <v>25</v>
      </c>
      <c r="T395" s="27"/>
      <c r="U395" s="28">
        <v>45044</v>
      </c>
      <c r="V395" s="27"/>
      <c r="W395" s="27"/>
      <c r="X395" s="36"/>
      <c r="Y395" s="10"/>
      <c r="Z395" s="113"/>
      <c r="AA395" s="113"/>
      <c r="AB395" s="113"/>
    </row>
    <row r="396" spans="1:28">
      <c r="A396" s="34">
        <v>408</v>
      </c>
      <c r="B396" s="31" t="s">
        <v>251</v>
      </c>
      <c r="C396" s="3" t="s">
        <v>24</v>
      </c>
      <c r="D396" s="30"/>
      <c r="E396" s="4" t="s">
        <v>29</v>
      </c>
      <c r="F396" s="30"/>
      <c r="G396" s="53" t="s">
        <v>53</v>
      </c>
      <c r="H396" s="27" t="s">
        <v>257</v>
      </c>
      <c r="I396" s="28"/>
      <c r="J396" s="99"/>
      <c r="K396" s="99"/>
      <c r="L396" s="50" t="s">
        <v>26</v>
      </c>
      <c r="M396" s="34">
        <v>408</v>
      </c>
      <c r="N396" s="32" t="s">
        <v>251</v>
      </c>
      <c r="O396" s="3" t="s">
        <v>24</v>
      </c>
      <c r="P396" s="30"/>
      <c r="Q396" s="30"/>
      <c r="R396" s="30"/>
      <c r="S396" s="28" t="s">
        <v>25</v>
      </c>
      <c r="T396" s="27"/>
      <c r="U396" s="28">
        <v>45012</v>
      </c>
      <c r="V396" s="27"/>
      <c r="W396" s="28">
        <v>45009</v>
      </c>
      <c r="X396" s="36"/>
      <c r="Y396" s="10"/>
      <c r="Z396" s="113"/>
      <c r="AA396" s="113"/>
      <c r="AB396" s="113"/>
    </row>
    <row r="397" spans="1:28">
      <c r="A397" s="34">
        <v>409</v>
      </c>
      <c r="B397" s="31" t="s">
        <v>251</v>
      </c>
      <c r="C397" s="3" t="s">
        <v>24</v>
      </c>
      <c r="D397" s="30"/>
      <c r="E397" s="3" t="s">
        <v>24</v>
      </c>
      <c r="F397" s="30"/>
      <c r="G397" s="53" t="s">
        <v>53</v>
      </c>
      <c r="H397" s="27"/>
      <c r="I397" s="28"/>
      <c r="J397" s="99"/>
      <c r="K397" s="99"/>
      <c r="L397" s="50" t="s">
        <v>26</v>
      </c>
      <c r="M397" s="34">
        <v>409</v>
      </c>
      <c r="N397" s="32" t="s">
        <v>251</v>
      </c>
      <c r="O397" s="4" t="s">
        <v>29</v>
      </c>
      <c r="P397" s="30"/>
      <c r="Q397" s="30"/>
      <c r="R397" s="30"/>
      <c r="S397" s="28" t="s">
        <v>25</v>
      </c>
      <c r="T397" s="27"/>
      <c r="U397" s="28">
        <v>45012</v>
      </c>
      <c r="V397" s="27"/>
      <c r="W397" s="28">
        <v>45008</v>
      </c>
      <c r="X397" s="36"/>
      <c r="Y397" s="10"/>
      <c r="Z397" s="113"/>
      <c r="AA397" s="113"/>
      <c r="AB397" s="113"/>
    </row>
    <row r="398" spans="1:28">
      <c r="A398" s="34">
        <v>410</v>
      </c>
      <c r="B398" s="31" t="s">
        <v>251</v>
      </c>
      <c r="C398" s="3" t="s">
        <v>24</v>
      </c>
      <c r="D398" s="30"/>
      <c r="E398" s="3" t="s">
        <v>24</v>
      </c>
      <c r="F398" s="30"/>
      <c r="G398" s="53" t="s">
        <v>53</v>
      </c>
      <c r="H398" s="27"/>
      <c r="I398" s="28"/>
      <c r="J398" s="99"/>
      <c r="K398" s="99"/>
      <c r="L398" s="50" t="s">
        <v>26</v>
      </c>
      <c r="M398" s="34">
        <v>410</v>
      </c>
      <c r="N398" s="32" t="s">
        <v>251</v>
      </c>
      <c r="O398" s="4" t="s">
        <v>29</v>
      </c>
      <c r="P398" s="30"/>
      <c r="Q398" s="30"/>
      <c r="R398" s="30"/>
      <c r="S398" s="28" t="s">
        <v>25</v>
      </c>
      <c r="T398" s="27"/>
      <c r="U398" s="28">
        <v>45012</v>
      </c>
      <c r="V398" s="27"/>
      <c r="W398" s="28">
        <v>45006</v>
      </c>
      <c r="X398" s="36"/>
      <c r="Y398" s="10"/>
      <c r="Z398" s="113"/>
      <c r="AA398" s="113"/>
      <c r="AB398" s="113"/>
    </row>
    <row r="399" spans="1:28">
      <c r="A399" s="34">
        <v>415</v>
      </c>
      <c r="B399" s="31" t="s">
        <v>251</v>
      </c>
      <c r="C399" s="29"/>
      <c r="D399" s="30"/>
      <c r="E399" s="3" t="s">
        <v>24</v>
      </c>
      <c r="F399" s="30"/>
      <c r="G399" s="53" t="s">
        <v>53</v>
      </c>
      <c r="H399" s="28"/>
      <c r="I399" s="28"/>
      <c r="J399" s="99"/>
      <c r="K399" s="99"/>
      <c r="L399" s="50" t="s">
        <v>26</v>
      </c>
      <c r="M399" s="34">
        <v>415</v>
      </c>
      <c r="N399" s="32" t="s">
        <v>251</v>
      </c>
      <c r="O399" s="3" t="s">
        <v>24</v>
      </c>
      <c r="P399" s="30"/>
      <c r="Q399" s="30"/>
      <c r="R399" s="30"/>
      <c r="S399" s="28" t="s">
        <v>25</v>
      </c>
      <c r="T399" s="28"/>
      <c r="U399" s="28">
        <v>45027</v>
      </c>
      <c r="V399" s="28"/>
      <c r="W399" s="28"/>
      <c r="X399" s="37"/>
      <c r="Y399" s="10"/>
      <c r="Z399" s="113"/>
      <c r="AA399" s="113"/>
      <c r="AB399" s="113"/>
    </row>
    <row r="400" spans="1:28">
      <c r="A400" s="34">
        <v>417</v>
      </c>
      <c r="B400" s="31" t="s">
        <v>251</v>
      </c>
      <c r="C400" s="3" t="s">
        <v>24</v>
      </c>
      <c r="D400" s="30"/>
      <c r="E400" s="3" t="s">
        <v>24</v>
      </c>
      <c r="F400" s="30"/>
      <c r="G400" s="53" t="s">
        <v>53</v>
      </c>
      <c r="H400" s="27"/>
      <c r="I400" s="27"/>
      <c r="J400" s="99"/>
      <c r="K400" s="99"/>
      <c r="L400" s="50" t="s">
        <v>26</v>
      </c>
      <c r="M400" s="34">
        <v>417</v>
      </c>
      <c r="N400" s="32" t="s">
        <v>251</v>
      </c>
      <c r="O400" s="3" t="s">
        <v>24</v>
      </c>
      <c r="P400" s="30"/>
      <c r="Q400" s="30"/>
      <c r="R400" s="30"/>
      <c r="S400" s="28" t="s">
        <v>25</v>
      </c>
      <c r="T400" s="27"/>
      <c r="U400" s="28">
        <v>45033</v>
      </c>
      <c r="V400" s="27"/>
      <c r="W400" s="27"/>
      <c r="X400" s="36" t="s">
        <v>254</v>
      </c>
      <c r="Y400" s="10" t="s">
        <v>251</v>
      </c>
      <c r="Z400" s="4" t="s">
        <v>29</v>
      </c>
      <c r="AA400" s="113"/>
      <c r="AB400" s="113"/>
    </row>
    <row r="401" spans="1:28">
      <c r="A401" s="34">
        <v>418</v>
      </c>
      <c r="B401" s="31" t="s">
        <v>251</v>
      </c>
      <c r="C401" s="3" t="s">
        <v>24</v>
      </c>
      <c r="D401" s="30"/>
      <c r="E401" s="3" t="s">
        <v>24</v>
      </c>
      <c r="F401" s="30"/>
      <c r="G401" s="53" t="s">
        <v>53</v>
      </c>
      <c r="H401" s="27"/>
      <c r="I401" s="27"/>
      <c r="J401" s="99"/>
      <c r="K401" s="99"/>
      <c r="L401" s="50" t="s">
        <v>26</v>
      </c>
      <c r="M401" s="34">
        <v>418</v>
      </c>
      <c r="N401" s="32" t="s">
        <v>251</v>
      </c>
      <c r="O401" s="3" t="s">
        <v>24</v>
      </c>
      <c r="P401" s="30"/>
      <c r="Q401" s="30"/>
      <c r="R401" s="30"/>
      <c r="S401" s="28" t="s">
        <v>25</v>
      </c>
      <c r="T401" s="27"/>
      <c r="U401" s="28">
        <v>45030</v>
      </c>
      <c r="V401" s="27"/>
      <c r="W401" s="27"/>
      <c r="X401" s="36" t="s">
        <v>254</v>
      </c>
      <c r="Y401" s="10" t="s">
        <v>251</v>
      </c>
      <c r="Z401" s="4" t="s">
        <v>29</v>
      </c>
      <c r="AA401" s="113"/>
      <c r="AB401" s="113"/>
    </row>
    <row r="402" spans="1:28">
      <c r="A402" s="34">
        <v>419</v>
      </c>
      <c r="B402" s="31" t="s">
        <v>251</v>
      </c>
      <c r="C402" s="3" t="s">
        <v>24</v>
      </c>
      <c r="D402" s="30"/>
      <c r="E402" s="3" t="s">
        <v>24</v>
      </c>
      <c r="F402" s="30"/>
      <c r="G402" s="53" t="s">
        <v>53</v>
      </c>
      <c r="H402" s="28"/>
      <c r="I402" s="28"/>
      <c r="J402" s="99"/>
      <c r="K402" s="99"/>
      <c r="L402" s="50" t="s">
        <v>26</v>
      </c>
      <c r="M402" s="34">
        <v>419</v>
      </c>
      <c r="N402" s="32" t="s">
        <v>251</v>
      </c>
      <c r="O402" s="4" t="s">
        <v>29</v>
      </c>
      <c r="P402" s="30"/>
      <c r="Q402" s="30"/>
      <c r="R402" s="30"/>
      <c r="S402" s="28" t="s">
        <v>25</v>
      </c>
      <c r="T402" s="27"/>
      <c r="U402" s="28">
        <v>45033</v>
      </c>
      <c r="V402" s="27"/>
      <c r="W402" s="28"/>
      <c r="X402" s="37"/>
      <c r="Y402" s="10"/>
      <c r="Z402" s="113"/>
      <c r="AA402" s="113"/>
      <c r="AB402" s="113"/>
    </row>
    <row r="403" spans="1:28">
      <c r="A403" s="34">
        <v>421</v>
      </c>
      <c r="B403" s="31" t="s">
        <v>251</v>
      </c>
      <c r="C403" s="29"/>
      <c r="D403" s="30"/>
      <c r="E403" s="3" t="s">
        <v>24</v>
      </c>
      <c r="F403" s="30"/>
      <c r="G403" s="53" t="s">
        <v>53</v>
      </c>
      <c r="H403" s="27"/>
      <c r="I403" s="27"/>
      <c r="J403" s="99"/>
      <c r="K403" s="99"/>
      <c r="L403" s="50" t="s">
        <v>26</v>
      </c>
      <c r="M403" s="34">
        <v>421</v>
      </c>
      <c r="N403" s="32" t="s">
        <v>251</v>
      </c>
      <c r="O403" s="3" t="s">
        <v>24</v>
      </c>
      <c r="P403" s="30"/>
      <c r="Q403" s="30"/>
      <c r="R403" s="30"/>
      <c r="S403" s="28" t="s">
        <v>25</v>
      </c>
      <c r="T403" s="27"/>
      <c r="U403" s="28">
        <v>45044</v>
      </c>
      <c r="V403" s="27"/>
      <c r="W403" s="28"/>
      <c r="X403" s="36" t="s">
        <v>254</v>
      </c>
      <c r="Y403" s="10" t="s">
        <v>251</v>
      </c>
      <c r="Z403" s="4" t="s">
        <v>29</v>
      </c>
      <c r="AA403" s="113"/>
      <c r="AB403" s="113"/>
    </row>
    <row r="404" spans="1:28">
      <c r="A404" s="34">
        <v>433</v>
      </c>
      <c r="B404" s="31" t="s">
        <v>251</v>
      </c>
      <c r="C404" s="3" t="s">
        <v>24</v>
      </c>
      <c r="D404" s="30"/>
      <c r="E404" s="4" t="s">
        <v>29</v>
      </c>
      <c r="F404" s="30"/>
      <c r="G404" s="53" t="s">
        <v>53</v>
      </c>
      <c r="H404" s="28"/>
      <c r="I404" s="28"/>
      <c r="J404" s="99"/>
      <c r="K404" s="99"/>
      <c r="L404" s="50" t="s">
        <v>26</v>
      </c>
      <c r="M404" s="34">
        <v>433</v>
      </c>
      <c r="N404" s="32" t="s">
        <v>251</v>
      </c>
      <c r="O404" s="3" t="s">
        <v>24</v>
      </c>
      <c r="P404" s="30"/>
      <c r="Q404" s="30"/>
      <c r="R404" s="30"/>
      <c r="S404" s="28" t="s">
        <v>25</v>
      </c>
      <c r="T404" s="27"/>
      <c r="U404" s="28">
        <v>45030</v>
      </c>
      <c r="V404" s="27"/>
      <c r="W404" s="28"/>
      <c r="X404" s="37" t="s">
        <v>254</v>
      </c>
      <c r="Y404" s="10" t="s">
        <v>251</v>
      </c>
      <c r="Z404" s="4" t="s">
        <v>29</v>
      </c>
      <c r="AA404" s="113"/>
      <c r="AB404" s="113"/>
    </row>
    <row r="405" spans="1:28">
      <c r="A405" s="34">
        <v>434</v>
      </c>
      <c r="B405" s="31" t="s">
        <v>251</v>
      </c>
      <c r="C405" s="3" t="s">
        <v>24</v>
      </c>
      <c r="D405" s="30"/>
      <c r="E405" s="4" t="s">
        <v>29</v>
      </c>
      <c r="F405" s="30"/>
      <c r="G405" s="53" t="s">
        <v>53</v>
      </c>
      <c r="H405" s="27"/>
      <c r="I405" s="28"/>
      <c r="J405" s="99"/>
      <c r="K405" s="99"/>
      <c r="L405" s="50" t="s">
        <v>26</v>
      </c>
      <c r="M405" s="34">
        <v>434</v>
      </c>
      <c r="N405" s="32" t="s">
        <v>251</v>
      </c>
      <c r="O405" s="3" t="s">
        <v>24</v>
      </c>
      <c r="P405" s="30"/>
      <c r="Q405" s="30"/>
      <c r="R405" s="30"/>
      <c r="S405" s="28" t="s">
        <v>25</v>
      </c>
      <c r="T405" s="27"/>
      <c r="U405" s="28">
        <v>45012</v>
      </c>
      <c r="V405" s="27"/>
      <c r="W405" s="28">
        <v>45007</v>
      </c>
      <c r="X405" s="36"/>
      <c r="Y405" s="10"/>
      <c r="Z405" s="113"/>
      <c r="AA405" s="113"/>
      <c r="AB405" s="113"/>
    </row>
    <row r="406" spans="1:28">
      <c r="A406" s="34">
        <v>435</v>
      </c>
      <c r="B406" s="31" t="s">
        <v>251</v>
      </c>
      <c r="C406" s="3" t="s">
        <v>24</v>
      </c>
      <c r="D406" s="30"/>
      <c r="E406" s="4" t="s">
        <v>29</v>
      </c>
      <c r="F406" s="30"/>
      <c r="G406" s="53" t="s">
        <v>53</v>
      </c>
      <c r="H406" s="27" t="s">
        <v>257</v>
      </c>
      <c r="I406" s="28"/>
      <c r="J406" s="99"/>
      <c r="K406" s="99"/>
      <c r="L406" s="50" t="s">
        <v>26</v>
      </c>
      <c r="M406" s="34">
        <v>435</v>
      </c>
      <c r="N406" s="32" t="s">
        <v>251</v>
      </c>
      <c r="O406" s="3" t="s">
        <v>24</v>
      </c>
      <c r="P406" s="30"/>
      <c r="Q406" s="30"/>
      <c r="R406" s="30"/>
      <c r="S406" s="28" t="s">
        <v>25</v>
      </c>
      <c r="T406" s="27"/>
      <c r="U406" s="28">
        <v>45019</v>
      </c>
      <c r="V406" s="27"/>
      <c r="W406" s="28">
        <v>45016</v>
      </c>
      <c r="X406" s="36"/>
      <c r="Y406" s="10"/>
      <c r="Z406" s="113"/>
      <c r="AA406" s="113"/>
      <c r="AB406" s="113"/>
    </row>
    <row r="407" spans="1:28">
      <c r="A407" s="34">
        <v>436</v>
      </c>
      <c r="B407" s="31" t="s">
        <v>251</v>
      </c>
      <c r="C407" s="3" t="s">
        <v>24</v>
      </c>
      <c r="D407" s="30"/>
      <c r="E407" s="3" t="s">
        <v>24</v>
      </c>
      <c r="F407" s="30"/>
      <c r="G407" s="53" t="s">
        <v>53</v>
      </c>
      <c r="H407" s="27" t="s">
        <v>257</v>
      </c>
      <c r="I407" s="28"/>
      <c r="J407" s="99"/>
      <c r="K407" s="99"/>
      <c r="L407" s="50" t="s">
        <v>26</v>
      </c>
      <c r="M407" s="34">
        <v>436</v>
      </c>
      <c r="N407" s="32" t="s">
        <v>251</v>
      </c>
      <c r="O407" s="3" t="s">
        <v>24</v>
      </c>
      <c r="P407" s="30"/>
      <c r="Q407" s="30"/>
      <c r="R407" s="30"/>
      <c r="S407" s="28" t="s">
        <v>25</v>
      </c>
      <c r="T407" s="27"/>
      <c r="U407" s="28">
        <v>45012</v>
      </c>
      <c r="V407" s="27"/>
      <c r="W407" s="28">
        <v>45006</v>
      </c>
      <c r="X407" s="36"/>
      <c r="Y407" s="10"/>
      <c r="Z407" s="113"/>
      <c r="AA407" s="113"/>
      <c r="AB407" s="113"/>
    </row>
    <row r="408" spans="1:28">
      <c r="A408" s="34">
        <v>437</v>
      </c>
      <c r="B408" s="31" t="s">
        <v>251</v>
      </c>
      <c r="C408" s="3" t="s">
        <v>24</v>
      </c>
      <c r="D408" s="30"/>
      <c r="E408" s="4" t="s">
        <v>29</v>
      </c>
      <c r="F408" s="30"/>
      <c r="G408" s="53" t="s">
        <v>53</v>
      </c>
      <c r="H408" s="27"/>
      <c r="I408" s="27"/>
      <c r="J408" s="99"/>
      <c r="K408" s="99"/>
      <c r="L408" s="50" t="s">
        <v>26</v>
      </c>
      <c r="M408" s="34">
        <v>437</v>
      </c>
      <c r="N408" s="32" t="s">
        <v>251</v>
      </c>
      <c r="O408" s="4" t="s">
        <v>29</v>
      </c>
      <c r="P408" s="30"/>
      <c r="Q408" s="30"/>
      <c r="R408" s="30"/>
      <c r="S408" s="28" t="s">
        <v>25</v>
      </c>
      <c r="T408" s="27"/>
      <c r="U408" s="28">
        <v>410286</v>
      </c>
      <c r="V408" s="27"/>
      <c r="W408" s="28"/>
      <c r="X408" s="36" t="s">
        <v>254</v>
      </c>
      <c r="Y408" s="10" t="s">
        <v>251</v>
      </c>
      <c r="Z408" s="4" t="s">
        <v>29</v>
      </c>
      <c r="AA408" s="113"/>
      <c r="AB408" s="113"/>
    </row>
    <row r="409" spans="1:28">
      <c r="A409" s="34">
        <v>438</v>
      </c>
      <c r="B409" s="31" t="s">
        <v>251</v>
      </c>
      <c r="C409" s="3" t="s">
        <v>24</v>
      </c>
      <c r="D409" s="30"/>
      <c r="E409" s="6" t="s">
        <v>46</v>
      </c>
      <c r="F409" s="30"/>
      <c r="G409" s="53" t="s">
        <v>53</v>
      </c>
      <c r="H409" s="28"/>
      <c r="I409" s="28"/>
      <c r="J409" s="99"/>
      <c r="K409" s="99"/>
      <c r="L409" s="50" t="s">
        <v>26</v>
      </c>
      <c r="M409" s="34">
        <v>438</v>
      </c>
      <c r="N409" s="32" t="s">
        <v>251</v>
      </c>
      <c r="O409" s="3" t="s">
        <v>24</v>
      </c>
      <c r="P409" s="30"/>
      <c r="Q409" s="30"/>
      <c r="R409" s="30"/>
      <c r="S409" s="28" t="s">
        <v>25</v>
      </c>
      <c r="T409" s="27"/>
      <c r="U409" s="28">
        <v>45019</v>
      </c>
      <c r="V409" s="27"/>
      <c r="W409" s="28">
        <v>45017</v>
      </c>
      <c r="X409" s="37"/>
      <c r="Y409" s="10"/>
      <c r="Z409" s="113"/>
      <c r="AA409" s="113"/>
      <c r="AB409" s="113"/>
    </row>
    <row r="410" spans="1:28">
      <c r="A410" s="34">
        <v>439</v>
      </c>
      <c r="B410" s="31" t="s">
        <v>251</v>
      </c>
      <c r="C410" s="3" t="s">
        <v>24</v>
      </c>
      <c r="D410" s="30"/>
      <c r="E410" s="3" t="s">
        <v>24</v>
      </c>
      <c r="F410" s="30"/>
      <c r="G410" s="53" t="s">
        <v>53</v>
      </c>
      <c r="H410" s="27"/>
      <c r="I410" s="28"/>
      <c r="J410" s="99"/>
      <c r="K410" s="99"/>
      <c r="L410" s="123"/>
      <c r="M410" s="8"/>
      <c r="N410" s="32"/>
      <c r="O410" s="113"/>
      <c r="P410" s="113"/>
      <c r="Q410" s="113"/>
      <c r="R410" s="113"/>
      <c r="S410" s="113"/>
      <c r="T410" s="27"/>
      <c r="U410" s="27"/>
      <c r="V410" s="27"/>
      <c r="W410" s="28"/>
      <c r="X410" s="36"/>
      <c r="Y410" s="10"/>
      <c r="Z410" s="113"/>
      <c r="AA410" s="113"/>
      <c r="AB410" s="113" t="s">
        <v>259</v>
      </c>
    </row>
    <row r="411" spans="1:28">
      <c r="A411" s="34">
        <v>440</v>
      </c>
      <c r="B411" s="31" t="s">
        <v>251</v>
      </c>
      <c r="C411" s="3" t="s">
        <v>24</v>
      </c>
      <c r="D411" s="30"/>
      <c r="E411" s="3" t="s">
        <v>24</v>
      </c>
      <c r="F411" s="30"/>
      <c r="G411" s="53" t="s">
        <v>53</v>
      </c>
      <c r="H411" s="27"/>
      <c r="I411" s="28"/>
      <c r="J411" s="99"/>
      <c r="K411" s="99"/>
      <c r="L411" s="50" t="s">
        <v>26</v>
      </c>
      <c r="M411" s="34">
        <v>440</v>
      </c>
      <c r="N411" s="32" t="s">
        <v>251</v>
      </c>
      <c r="O411" s="3" t="s">
        <v>24</v>
      </c>
      <c r="P411" s="30"/>
      <c r="Q411" s="30"/>
      <c r="R411" s="30"/>
      <c r="S411" s="28" t="s">
        <v>25</v>
      </c>
      <c r="T411" s="27"/>
      <c r="U411" s="28">
        <v>45013</v>
      </c>
      <c r="V411" s="27"/>
      <c r="W411" s="28">
        <v>45011</v>
      </c>
      <c r="X411" s="36"/>
      <c r="Y411" s="10"/>
      <c r="Z411" s="113"/>
      <c r="AA411" s="113"/>
      <c r="AB411" s="113"/>
    </row>
    <row r="412" spans="1:28">
      <c r="A412" s="34">
        <v>441</v>
      </c>
      <c r="B412" s="31" t="s">
        <v>251</v>
      </c>
      <c r="C412" s="3" t="s">
        <v>24</v>
      </c>
      <c r="D412" s="30"/>
      <c r="E412" s="4" t="s">
        <v>29</v>
      </c>
      <c r="F412" s="30"/>
      <c r="G412" s="53" t="s">
        <v>53</v>
      </c>
      <c r="H412" s="27"/>
      <c r="I412" s="28"/>
      <c r="J412" s="99"/>
      <c r="K412" s="99"/>
      <c r="L412" s="50" t="s">
        <v>26</v>
      </c>
      <c r="M412" s="34">
        <v>441</v>
      </c>
      <c r="N412" s="32" t="s">
        <v>251</v>
      </c>
      <c r="O412" s="3" t="s">
        <v>24</v>
      </c>
      <c r="P412" s="30"/>
      <c r="Q412" s="30"/>
      <c r="R412" s="30"/>
      <c r="S412" s="28" t="s">
        <v>25</v>
      </c>
      <c r="T412" s="27"/>
      <c r="U412" s="28">
        <v>45013</v>
      </c>
      <c r="V412" s="27"/>
      <c r="W412" s="28">
        <v>45011</v>
      </c>
      <c r="X412" s="36"/>
      <c r="Y412" s="10"/>
      <c r="Z412" s="113"/>
      <c r="AA412" s="113"/>
      <c r="AB412" s="113"/>
    </row>
    <row r="413" spans="1:28">
      <c r="A413" s="34">
        <v>442</v>
      </c>
      <c r="B413" s="31" t="s">
        <v>251</v>
      </c>
      <c r="C413" s="3" t="s">
        <v>24</v>
      </c>
      <c r="D413" s="30"/>
      <c r="E413" s="3" t="s">
        <v>24</v>
      </c>
      <c r="F413" s="30"/>
      <c r="G413" s="53" t="s">
        <v>53</v>
      </c>
      <c r="H413" s="27"/>
      <c r="I413" s="27"/>
      <c r="J413" s="99"/>
      <c r="K413" s="99"/>
      <c r="L413" s="50" t="s">
        <v>26</v>
      </c>
      <c r="M413" s="34">
        <v>442</v>
      </c>
      <c r="N413" s="32" t="s">
        <v>251</v>
      </c>
      <c r="O413" s="3" t="s">
        <v>24</v>
      </c>
      <c r="P413" s="30"/>
      <c r="Q413" s="30"/>
      <c r="R413" s="30"/>
      <c r="S413" s="28" t="s">
        <v>25</v>
      </c>
      <c r="T413" s="27"/>
      <c r="U413" s="27"/>
      <c r="V413" s="27"/>
      <c r="W413" s="28"/>
      <c r="X413" s="36"/>
      <c r="Y413" s="10"/>
      <c r="Z413" s="113"/>
      <c r="AA413" s="113"/>
      <c r="AB413" s="113"/>
    </row>
    <row r="414" spans="1:28">
      <c r="A414" s="34">
        <v>443</v>
      </c>
      <c r="B414" s="31" t="s">
        <v>251</v>
      </c>
      <c r="C414" s="3" t="s">
        <v>24</v>
      </c>
      <c r="D414" s="30"/>
      <c r="E414" s="4" t="s">
        <v>29</v>
      </c>
      <c r="F414" s="30"/>
      <c r="G414" s="53" t="s">
        <v>53</v>
      </c>
      <c r="H414" s="27"/>
      <c r="I414" s="27"/>
      <c r="J414" s="99"/>
      <c r="K414" s="99"/>
      <c r="L414" s="50" t="s">
        <v>26</v>
      </c>
      <c r="M414" s="34">
        <v>443</v>
      </c>
      <c r="N414" s="32" t="s">
        <v>251</v>
      </c>
      <c r="O414" s="3" t="s">
        <v>24</v>
      </c>
      <c r="P414" s="30"/>
      <c r="Q414" s="30"/>
      <c r="R414" s="30"/>
      <c r="S414" s="28" t="s">
        <v>25</v>
      </c>
      <c r="T414" s="27"/>
      <c r="U414" s="28">
        <v>45007</v>
      </c>
      <c r="V414" s="27"/>
      <c r="W414" s="28">
        <v>45003</v>
      </c>
      <c r="X414" s="36"/>
      <c r="Y414" s="10"/>
      <c r="Z414" s="113"/>
      <c r="AA414" s="113"/>
      <c r="AB414" s="113"/>
    </row>
    <row r="415" spans="1:28">
      <c r="A415" s="34">
        <v>444</v>
      </c>
      <c r="B415" s="31" t="s">
        <v>251</v>
      </c>
      <c r="C415" s="3" t="s">
        <v>24</v>
      </c>
      <c r="D415" s="30"/>
      <c r="E415" s="4" t="s">
        <v>29</v>
      </c>
      <c r="F415" s="30"/>
      <c r="G415" s="53" t="s">
        <v>53</v>
      </c>
      <c r="H415" s="28"/>
      <c r="I415" s="28"/>
      <c r="J415" s="99"/>
      <c r="K415" s="99"/>
      <c r="L415" s="50" t="s">
        <v>26</v>
      </c>
      <c r="M415" s="34">
        <v>444</v>
      </c>
      <c r="N415" s="32" t="s">
        <v>251</v>
      </c>
      <c r="O415" s="3" t="s">
        <v>24</v>
      </c>
      <c r="P415" s="30"/>
      <c r="Q415" s="30"/>
      <c r="R415" s="30"/>
      <c r="S415" s="28" t="s">
        <v>25</v>
      </c>
      <c r="T415" s="27"/>
      <c r="U415" s="28">
        <v>45027</v>
      </c>
      <c r="V415" s="27"/>
      <c r="W415" s="28">
        <v>45024</v>
      </c>
      <c r="X415" s="37"/>
      <c r="Y415" s="10"/>
      <c r="Z415" s="113"/>
      <c r="AA415" s="113"/>
      <c r="AB415" s="29" t="s">
        <v>260</v>
      </c>
    </row>
    <row r="416" spans="1:28">
      <c r="A416" s="34">
        <v>445</v>
      </c>
      <c r="B416" s="31" t="s">
        <v>251</v>
      </c>
      <c r="C416" s="3" t="s">
        <v>24</v>
      </c>
      <c r="D416" s="30"/>
      <c r="E416" s="6" t="s">
        <v>46</v>
      </c>
      <c r="F416" s="30"/>
      <c r="G416" s="53" t="s">
        <v>53</v>
      </c>
      <c r="H416" s="28"/>
      <c r="I416" s="28"/>
      <c r="J416" s="99"/>
      <c r="K416" s="99"/>
      <c r="L416" s="50" t="s">
        <v>26</v>
      </c>
      <c r="M416" s="34">
        <v>445</v>
      </c>
      <c r="N416" s="32" t="s">
        <v>251</v>
      </c>
      <c r="O416" s="3" t="s">
        <v>24</v>
      </c>
      <c r="P416" s="30"/>
      <c r="Q416" s="30"/>
      <c r="R416" s="30"/>
      <c r="S416" s="28" t="s">
        <v>25</v>
      </c>
      <c r="T416" s="27"/>
      <c r="U416" s="28">
        <v>45030</v>
      </c>
      <c r="V416" s="27"/>
      <c r="W416" s="28"/>
      <c r="X416" s="37" t="s">
        <v>254</v>
      </c>
      <c r="Y416" s="10" t="s">
        <v>251</v>
      </c>
      <c r="Z416" s="4" t="s">
        <v>29</v>
      </c>
      <c r="AA416" s="113"/>
      <c r="AB416" s="113"/>
    </row>
    <row r="417" spans="1:28">
      <c r="A417" s="34">
        <v>446</v>
      </c>
      <c r="B417" s="31" t="s">
        <v>251</v>
      </c>
      <c r="C417" s="3" t="s">
        <v>24</v>
      </c>
      <c r="D417" s="30"/>
      <c r="E417" s="6" t="s">
        <v>46</v>
      </c>
      <c r="F417" s="30"/>
      <c r="G417" s="53" t="s">
        <v>53</v>
      </c>
      <c r="H417" s="27"/>
      <c r="I417" s="27"/>
      <c r="J417" s="99"/>
      <c r="K417" s="99"/>
      <c r="L417" s="50" t="s">
        <v>26</v>
      </c>
      <c r="M417" s="34">
        <v>446</v>
      </c>
      <c r="N417" s="32" t="s">
        <v>251</v>
      </c>
      <c r="O417" s="3" t="s">
        <v>24</v>
      </c>
      <c r="P417" s="30"/>
      <c r="Q417" s="30"/>
      <c r="R417" s="30"/>
      <c r="S417" s="28" t="s">
        <v>25</v>
      </c>
      <c r="T417" s="27"/>
      <c r="U417" s="27"/>
      <c r="V417" s="27"/>
      <c r="W417" s="28"/>
      <c r="X417" s="36"/>
      <c r="Y417" s="10"/>
      <c r="Z417" s="113"/>
      <c r="AA417" s="113"/>
      <c r="AB417" s="113"/>
    </row>
    <row r="418" spans="1:28">
      <c r="A418" s="34">
        <v>447</v>
      </c>
      <c r="B418" s="31" t="s">
        <v>251</v>
      </c>
      <c r="C418" s="3" t="s">
        <v>24</v>
      </c>
      <c r="D418" s="30"/>
      <c r="E418" s="4" t="s">
        <v>29</v>
      </c>
      <c r="F418" s="30"/>
      <c r="G418" s="53" t="s">
        <v>53</v>
      </c>
      <c r="H418" s="27"/>
      <c r="I418" s="27"/>
      <c r="J418" s="99"/>
      <c r="K418" s="99"/>
      <c r="L418" s="50" t="s">
        <v>26</v>
      </c>
      <c r="M418" s="34">
        <v>447</v>
      </c>
      <c r="N418" s="32" t="s">
        <v>251</v>
      </c>
      <c r="O418" s="3" t="s">
        <v>24</v>
      </c>
      <c r="P418" s="30"/>
      <c r="Q418" s="30"/>
      <c r="R418" s="30"/>
      <c r="S418" s="28" t="s">
        <v>25</v>
      </c>
      <c r="T418" s="27"/>
      <c r="U418" s="27"/>
      <c r="V418" s="27"/>
      <c r="W418" s="28"/>
      <c r="X418" s="36" t="s">
        <v>254</v>
      </c>
      <c r="Y418" s="10" t="s">
        <v>251</v>
      </c>
      <c r="Z418" s="4" t="s">
        <v>29</v>
      </c>
      <c r="AA418" s="113"/>
      <c r="AB418" s="113"/>
    </row>
    <row r="419" spans="1:28">
      <c r="A419" s="34">
        <v>448</v>
      </c>
      <c r="B419" s="31" t="s">
        <v>251</v>
      </c>
      <c r="C419" s="3" t="s">
        <v>24</v>
      </c>
      <c r="D419" s="30"/>
      <c r="E419" s="3" t="s">
        <v>24</v>
      </c>
      <c r="F419" s="30"/>
      <c r="G419" s="53" t="s">
        <v>53</v>
      </c>
      <c r="H419" s="27"/>
      <c r="I419" s="27"/>
      <c r="J419" s="99"/>
      <c r="K419" s="99"/>
      <c r="L419" s="50" t="s">
        <v>26</v>
      </c>
      <c r="M419" s="34">
        <v>448</v>
      </c>
      <c r="N419" s="32" t="s">
        <v>251</v>
      </c>
      <c r="O419" s="3" t="s">
        <v>24</v>
      </c>
      <c r="P419" s="30"/>
      <c r="Q419" s="30"/>
      <c r="R419" s="30"/>
      <c r="S419" s="28" t="s">
        <v>25</v>
      </c>
      <c r="T419" s="27"/>
      <c r="U419" s="27"/>
      <c r="V419" s="27"/>
      <c r="W419" s="28"/>
      <c r="X419" s="36"/>
      <c r="Y419" s="10"/>
      <c r="Z419" s="113"/>
      <c r="AA419" s="113"/>
      <c r="AB419" s="113"/>
    </row>
    <row r="420" spans="1:28">
      <c r="A420" s="34">
        <v>449</v>
      </c>
      <c r="B420" s="31" t="s">
        <v>251</v>
      </c>
      <c r="C420" s="3" t="s">
        <v>24</v>
      </c>
      <c r="D420" s="30"/>
      <c r="E420" s="4" t="s">
        <v>29</v>
      </c>
      <c r="F420" s="30"/>
      <c r="G420" s="53" t="s">
        <v>53</v>
      </c>
      <c r="H420" s="27"/>
      <c r="I420" s="28"/>
      <c r="J420" s="99"/>
      <c r="K420" s="99"/>
      <c r="L420" s="50" t="s">
        <v>26</v>
      </c>
      <c r="M420" s="34">
        <v>449</v>
      </c>
      <c r="N420" s="32" t="s">
        <v>251</v>
      </c>
      <c r="O420" s="3" t="s">
        <v>24</v>
      </c>
      <c r="P420" s="30"/>
      <c r="Q420" s="30"/>
      <c r="R420" s="30"/>
      <c r="S420" s="28" t="s">
        <v>25</v>
      </c>
      <c r="T420" s="27"/>
      <c r="U420" s="28">
        <v>45019</v>
      </c>
      <c r="V420" s="27"/>
      <c r="W420" s="28">
        <v>45014</v>
      </c>
      <c r="X420" s="36"/>
      <c r="Y420" s="10"/>
      <c r="Z420" s="113"/>
      <c r="AA420" s="113"/>
      <c r="AB420" s="29" t="s">
        <v>260</v>
      </c>
    </row>
    <row r="421" spans="1:28">
      <c r="A421" s="34">
        <v>450</v>
      </c>
      <c r="B421" s="31" t="s">
        <v>251</v>
      </c>
      <c r="C421" s="3" t="s">
        <v>24</v>
      </c>
      <c r="D421" s="30"/>
      <c r="E421" s="4" t="s">
        <v>29</v>
      </c>
      <c r="F421" s="30"/>
      <c r="G421" s="53" t="s">
        <v>53</v>
      </c>
      <c r="H421" s="27"/>
      <c r="I421" s="28"/>
      <c r="J421" s="99"/>
      <c r="K421" s="99"/>
      <c r="L421" s="50" t="s">
        <v>26</v>
      </c>
      <c r="M421" s="34">
        <v>450</v>
      </c>
      <c r="N421" s="32" t="s">
        <v>251</v>
      </c>
      <c r="O421" s="3" t="s">
        <v>24</v>
      </c>
      <c r="P421" s="30"/>
      <c r="Q421" s="30"/>
      <c r="R421" s="30"/>
      <c r="S421" s="28" t="s">
        <v>25</v>
      </c>
      <c r="T421" s="27"/>
      <c r="U421" s="27"/>
      <c r="V421" s="27"/>
      <c r="W421" s="28"/>
      <c r="X421" s="36"/>
      <c r="Y421" s="10"/>
      <c r="Z421" s="113"/>
      <c r="AA421" s="113"/>
      <c r="AB421" s="29" t="s">
        <v>260</v>
      </c>
    </row>
    <row r="422" spans="1:28">
      <c r="A422" s="34">
        <v>451</v>
      </c>
      <c r="B422" s="31" t="s">
        <v>251</v>
      </c>
      <c r="C422" s="3" t="s">
        <v>24</v>
      </c>
      <c r="D422" s="30"/>
      <c r="E422" s="4" t="s">
        <v>29</v>
      </c>
      <c r="F422" s="30"/>
      <c r="G422" s="53" t="s">
        <v>53</v>
      </c>
      <c r="H422" s="28"/>
      <c r="I422" s="28"/>
      <c r="J422" s="99"/>
      <c r="K422" s="99"/>
      <c r="L422" s="50" t="s">
        <v>26</v>
      </c>
      <c r="M422" s="34">
        <v>451</v>
      </c>
      <c r="N422" s="32" t="s">
        <v>251</v>
      </c>
      <c r="O422" s="3" t="s">
        <v>24</v>
      </c>
      <c r="P422" s="30"/>
      <c r="Q422" s="30"/>
      <c r="R422" s="30"/>
      <c r="S422" s="28" t="s">
        <v>25</v>
      </c>
      <c r="T422" s="27"/>
      <c r="U422" s="28">
        <v>45033</v>
      </c>
      <c r="V422" s="27"/>
      <c r="W422" s="28"/>
      <c r="X422" s="37" t="s">
        <v>254</v>
      </c>
      <c r="Y422" s="10" t="s">
        <v>251</v>
      </c>
      <c r="Z422" s="4" t="s">
        <v>29</v>
      </c>
      <c r="AA422" s="113"/>
      <c r="AB422" s="113"/>
    </row>
    <row r="423" spans="1:28">
      <c r="A423" s="34" t="s">
        <v>264</v>
      </c>
      <c r="B423" s="31" t="s">
        <v>251</v>
      </c>
      <c r="C423" s="29"/>
      <c r="D423" s="30"/>
      <c r="E423" s="4" t="s">
        <v>29</v>
      </c>
      <c r="F423" s="30"/>
      <c r="G423" s="53" t="s">
        <v>53</v>
      </c>
      <c r="H423" s="28"/>
      <c r="I423" s="28"/>
      <c r="J423" s="99"/>
      <c r="K423" s="99"/>
      <c r="L423" s="50" t="s">
        <v>26</v>
      </c>
      <c r="M423" s="34" t="s">
        <v>264</v>
      </c>
      <c r="N423" s="32" t="s">
        <v>251</v>
      </c>
      <c r="O423" s="3" t="s">
        <v>24</v>
      </c>
      <c r="P423" s="30"/>
      <c r="Q423" s="30"/>
      <c r="R423" s="30"/>
      <c r="S423" s="28" t="s">
        <v>25</v>
      </c>
      <c r="T423" s="28"/>
      <c r="U423" s="28">
        <v>45033</v>
      </c>
      <c r="V423" s="28"/>
      <c r="W423" s="28"/>
      <c r="X423" s="37" t="s">
        <v>254</v>
      </c>
      <c r="Y423" s="10" t="s">
        <v>251</v>
      </c>
      <c r="Z423" s="4" t="s">
        <v>29</v>
      </c>
      <c r="AA423" s="113"/>
      <c r="AB423" s="113"/>
    </row>
    <row r="424" spans="1:28">
      <c r="A424" s="34">
        <v>453</v>
      </c>
      <c r="B424" s="31" t="s">
        <v>251</v>
      </c>
      <c r="C424" s="3" t="s">
        <v>24</v>
      </c>
      <c r="D424" s="30"/>
      <c r="E424" s="3" t="s">
        <v>24</v>
      </c>
      <c r="F424" s="30"/>
      <c r="G424" s="53" t="s">
        <v>53</v>
      </c>
      <c r="H424" s="27"/>
      <c r="I424" s="27"/>
      <c r="J424" s="99"/>
      <c r="K424" s="99"/>
      <c r="L424" s="50" t="s">
        <v>26</v>
      </c>
      <c r="M424" s="34">
        <v>453</v>
      </c>
      <c r="N424" s="32" t="s">
        <v>251</v>
      </c>
      <c r="O424" s="3" t="s">
        <v>24</v>
      </c>
      <c r="P424" s="30"/>
      <c r="Q424" s="30"/>
      <c r="R424" s="30"/>
      <c r="S424" s="28" t="s">
        <v>25</v>
      </c>
      <c r="T424" s="27"/>
      <c r="U424" s="28">
        <v>45068</v>
      </c>
      <c r="V424" s="27"/>
      <c r="W424" s="28"/>
      <c r="X424" s="36"/>
      <c r="Y424" s="10"/>
      <c r="Z424" s="113"/>
      <c r="AA424" s="113"/>
      <c r="AB424" s="113"/>
    </row>
    <row r="425" spans="1:28">
      <c r="A425" s="34">
        <v>457</v>
      </c>
      <c r="B425" s="31" t="s">
        <v>251</v>
      </c>
      <c r="C425" s="3" t="s">
        <v>24</v>
      </c>
      <c r="D425" s="30"/>
      <c r="E425" s="4" t="s">
        <v>29</v>
      </c>
      <c r="F425" s="30"/>
      <c r="G425" s="53" t="s">
        <v>53</v>
      </c>
      <c r="H425" s="27"/>
      <c r="I425" s="28"/>
      <c r="J425" s="99"/>
      <c r="K425" s="99"/>
      <c r="L425" s="50" t="s">
        <v>34</v>
      </c>
      <c r="M425" s="34">
        <v>457</v>
      </c>
      <c r="N425" s="32" t="s">
        <v>251</v>
      </c>
      <c r="O425" s="29"/>
      <c r="P425" s="30"/>
      <c r="Q425" s="30"/>
      <c r="R425" s="30"/>
      <c r="S425" s="27" t="s">
        <v>265</v>
      </c>
      <c r="T425" s="27"/>
      <c r="U425" s="27"/>
      <c r="V425" s="27"/>
      <c r="W425" s="28"/>
      <c r="X425" s="36"/>
      <c r="Y425" s="10"/>
      <c r="Z425" s="113"/>
      <c r="AA425" s="113"/>
      <c r="AB425" s="113"/>
    </row>
    <row r="426" spans="1:28">
      <c r="A426" s="34">
        <v>458</v>
      </c>
      <c r="B426" s="31" t="s">
        <v>251</v>
      </c>
      <c r="C426" s="3" t="s">
        <v>24</v>
      </c>
      <c r="D426" s="30"/>
      <c r="E426" s="3" t="s">
        <v>24</v>
      </c>
      <c r="F426" s="30"/>
      <c r="G426" s="53" t="s">
        <v>53</v>
      </c>
      <c r="H426" s="27"/>
      <c r="I426" s="27"/>
      <c r="J426" s="99"/>
      <c r="K426" s="99"/>
      <c r="L426" s="50" t="s">
        <v>26</v>
      </c>
      <c r="M426" s="34">
        <v>458</v>
      </c>
      <c r="N426" s="32" t="s">
        <v>251</v>
      </c>
      <c r="O426" s="3" t="s">
        <v>24</v>
      </c>
      <c r="P426" s="30"/>
      <c r="Q426" s="30"/>
      <c r="R426" s="30"/>
      <c r="S426" s="28" t="s">
        <v>25</v>
      </c>
      <c r="T426" s="27"/>
      <c r="U426" s="28">
        <v>45030</v>
      </c>
      <c r="V426" s="27"/>
      <c r="W426" s="28"/>
      <c r="X426" s="36" t="s">
        <v>254</v>
      </c>
      <c r="Y426" s="10" t="s">
        <v>251</v>
      </c>
      <c r="Z426" s="4" t="s">
        <v>29</v>
      </c>
      <c r="AA426" s="113"/>
      <c r="AB426" s="113"/>
    </row>
    <row r="427" spans="1:28">
      <c r="A427" s="34">
        <v>459</v>
      </c>
      <c r="B427" s="31" t="s">
        <v>251</v>
      </c>
      <c r="C427" s="4" t="s">
        <v>29</v>
      </c>
      <c r="D427" s="30"/>
      <c r="E427" s="4" t="s">
        <v>29</v>
      </c>
      <c r="F427" s="30"/>
      <c r="G427" s="53" t="s">
        <v>53</v>
      </c>
      <c r="H427" s="28"/>
      <c r="I427" s="28"/>
      <c r="J427" s="99"/>
      <c r="K427" s="99"/>
      <c r="L427" s="50" t="s">
        <v>26</v>
      </c>
      <c r="M427" s="34">
        <v>459</v>
      </c>
      <c r="N427" s="32" t="s">
        <v>251</v>
      </c>
      <c r="O427" s="4" t="s">
        <v>29</v>
      </c>
      <c r="P427" s="30"/>
      <c r="Q427" s="30"/>
      <c r="R427" s="30"/>
      <c r="S427" s="28" t="s">
        <v>25</v>
      </c>
      <c r="T427" s="28"/>
      <c r="U427" s="28">
        <v>45027</v>
      </c>
      <c r="V427" s="28"/>
      <c r="W427" s="28">
        <v>45022</v>
      </c>
      <c r="X427" s="37"/>
      <c r="Y427" s="10"/>
      <c r="Z427" s="113"/>
      <c r="AA427" s="113"/>
      <c r="AB427" s="29" t="s">
        <v>260</v>
      </c>
    </row>
    <row r="428" spans="1:28">
      <c r="A428" s="34">
        <v>460</v>
      </c>
      <c r="B428" s="31" t="s">
        <v>251</v>
      </c>
      <c r="C428" s="3" t="s">
        <v>24</v>
      </c>
      <c r="D428" s="30"/>
      <c r="E428" s="3" t="s">
        <v>24</v>
      </c>
      <c r="F428" s="30"/>
      <c r="G428" s="53" t="s">
        <v>53</v>
      </c>
      <c r="H428" s="27"/>
      <c r="I428" s="27"/>
      <c r="J428" s="99"/>
      <c r="K428" s="99"/>
      <c r="L428" s="50" t="s">
        <v>26</v>
      </c>
      <c r="M428" s="34">
        <v>460</v>
      </c>
      <c r="N428" s="32" t="s">
        <v>251</v>
      </c>
      <c r="O428" s="3" t="s">
        <v>24</v>
      </c>
      <c r="P428" s="30"/>
      <c r="Q428" s="30"/>
      <c r="R428" s="30"/>
      <c r="S428" s="28" t="s">
        <v>25</v>
      </c>
      <c r="T428" s="27"/>
      <c r="U428" s="28">
        <v>45044</v>
      </c>
      <c r="V428" s="27"/>
      <c r="W428" s="28"/>
      <c r="X428" s="36" t="s">
        <v>254</v>
      </c>
      <c r="Y428" s="10" t="s">
        <v>251</v>
      </c>
      <c r="Z428" s="4" t="s">
        <v>29</v>
      </c>
      <c r="AA428" s="113"/>
      <c r="AB428" s="113"/>
    </row>
    <row r="429" spans="1:28">
      <c r="A429" s="34">
        <v>461</v>
      </c>
      <c r="B429" s="31" t="s">
        <v>251</v>
      </c>
      <c r="C429" s="4" t="s">
        <v>29</v>
      </c>
      <c r="D429" s="30"/>
      <c r="E429" s="29"/>
      <c r="F429" s="30"/>
      <c r="G429" s="53" t="s">
        <v>53</v>
      </c>
      <c r="H429" s="27"/>
      <c r="I429" s="27"/>
      <c r="J429" s="99"/>
      <c r="K429" s="99"/>
      <c r="L429" s="123"/>
      <c r="M429" s="8"/>
      <c r="N429" s="32"/>
      <c r="O429" s="113"/>
      <c r="P429" s="113"/>
      <c r="Q429" s="113"/>
      <c r="R429" s="113"/>
      <c r="S429" s="113"/>
      <c r="T429" s="27"/>
      <c r="U429" s="27"/>
      <c r="V429" s="27"/>
      <c r="W429" s="28"/>
      <c r="X429" s="36"/>
      <c r="Y429" s="10"/>
      <c r="Z429" s="113"/>
      <c r="AA429" s="113"/>
      <c r="AB429" s="113"/>
    </row>
    <row r="430" spans="1:28">
      <c r="A430" s="34">
        <v>463</v>
      </c>
      <c r="B430" s="31" t="s">
        <v>251</v>
      </c>
      <c r="C430" s="3" t="s">
        <v>24</v>
      </c>
      <c r="D430" s="30"/>
      <c r="E430" s="4" t="s">
        <v>29</v>
      </c>
      <c r="F430" s="30"/>
      <c r="G430" s="53" t="s">
        <v>53</v>
      </c>
      <c r="H430" s="27"/>
      <c r="I430" s="28"/>
      <c r="J430" s="99"/>
      <c r="K430" s="99"/>
      <c r="L430" s="50" t="s">
        <v>26</v>
      </c>
      <c r="M430" s="34">
        <v>463</v>
      </c>
      <c r="N430" s="32" t="s">
        <v>251</v>
      </c>
      <c r="O430" s="3" t="s">
        <v>24</v>
      </c>
      <c r="P430" s="30"/>
      <c r="Q430" s="30"/>
      <c r="R430" s="30"/>
      <c r="S430" s="28" t="s">
        <v>25</v>
      </c>
      <c r="T430" s="27"/>
      <c r="U430" s="28">
        <v>45027</v>
      </c>
      <c r="V430" s="27"/>
      <c r="W430" s="28">
        <v>45024</v>
      </c>
      <c r="X430" s="37"/>
      <c r="Y430" s="10"/>
      <c r="Z430" s="113"/>
      <c r="AA430" s="113"/>
      <c r="AB430" s="113"/>
    </row>
    <row r="431" spans="1:28">
      <c r="A431" s="34">
        <v>464</v>
      </c>
      <c r="B431" s="31" t="s">
        <v>251</v>
      </c>
      <c r="C431" s="3" t="s">
        <v>24</v>
      </c>
      <c r="D431" s="30"/>
      <c r="E431" s="4" t="s">
        <v>29</v>
      </c>
      <c r="F431" s="30"/>
      <c r="G431" s="53" t="s">
        <v>53</v>
      </c>
      <c r="H431" s="28" t="s">
        <v>257</v>
      </c>
      <c r="I431" s="28"/>
      <c r="J431" s="99"/>
      <c r="K431" s="99"/>
      <c r="L431" s="50" t="s">
        <v>26</v>
      </c>
      <c r="M431" s="34">
        <v>464</v>
      </c>
      <c r="N431" s="32" t="s">
        <v>251</v>
      </c>
      <c r="O431" s="3" t="s">
        <v>24</v>
      </c>
      <c r="P431" s="30"/>
      <c r="Q431" s="30"/>
      <c r="R431" s="30"/>
      <c r="S431" s="28" t="s">
        <v>25</v>
      </c>
      <c r="T431" s="27"/>
      <c r="U431" s="28">
        <v>45027</v>
      </c>
      <c r="V431" s="27"/>
      <c r="W431" s="28">
        <v>45022</v>
      </c>
      <c r="X431" s="37"/>
      <c r="Y431" s="10"/>
      <c r="Z431" s="113"/>
      <c r="AA431" s="113"/>
      <c r="AB431" s="113"/>
    </row>
    <row r="432" spans="1:28">
      <c r="A432" s="34">
        <v>465</v>
      </c>
      <c r="B432" s="31" t="s">
        <v>251</v>
      </c>
      <c r="C432" s="3" t="s">
        <v>24</v>
      </c>
      <c r="D432" s="30"/>
      <c r="E432" s="4" t="s">
        <v>29</v>
      </c>
      <c r="F432" s="30"/>
      <c r="G432" s="53" t="s">
        <v>53</v>
      </c>
      <c r="H432" s="27"/>
      <c r="I432" s="28"/>
      <c r="J432" s="99"/>
      <c r="K432" s="99"/>
      <c r="L432" s="50" t="s">
        <v>26</v>
      </c>
      <c r="M432" s="34">
        <v>465</v>
      </c>
      <c r="N432" s="32" t="s">
        <v>251</v>
      </c>
      <c r="O432" s="3" t="s">
        <v>24</v>
      </c>
      <c r="P432" s="30"/>
      <c r="Q432" s="30"/>
      <c r="R432" s="30"/>
      <c r="S432" s="28" t="s">
        <v>25</v>
      </c>
      <c r="T432" s="27"/>
      <c r="U432" s="28">
        <v>45027</v>
      </c>
      <c r="V432" s="27"/>
      <c r="W432" s="28">
        <v>45024</v>
      </c>
      <c r="X432" s="37" t="s">
        <v>254</v>
      </c>
      <c r="Y432" s="10" t="s">
        <v>251</v>
      </c>
      <c r="Z432" s="4" t="s">
        <v>29</v>
      </c>
      <c r="AA432" s="113"/>
      <c r="AB432" s="113"/>
    </row>
    <row r="433" spans="1:28">
      <c r="A433" s="34">
        <v>466</v>
      </c>
      <c r="B433" s="31" t="s">
        <v>251</v>
      </c>
      <c r="C433" s="3" t="s">
        <v>24</v>
      </c>
      <c r="D433" s="30"/>
      <c r="E433" s="4" t="s">
        <v>29</v>
      </c>
      <c r="F433" s="30"/>
      <c r="G433" s="53" t="s">
        <v>53</v>
      </c>
      <c r="H433" s="28"/>
      <c r="I433" s="28"/>
      <c r="J433" s="99"/>
      <c r="K433" s="99"/>
      <c r="L433" s="50" t="s">
        <v>26</v>
      </c>
      <c r="M433" s="34">
        <v>466</v>
      </c>
      <c r="N433" s="32" t="s">
        <v>251</v>
      </c>
      <c r="O433" s="3" t="s">
        <v>24</v>
      </c>
      <c r="P433" s="30"/>
      <c r="Q433" s="30"/>
      <c r="R433" s="30"/>
      <c r="S433" s="28" t="s">
        <v>25</v>
      </c>
      <c r="T433" s="27"/>
      <c r="U433" s="28">
        <v>45033</v>
      </c>
      <c r="V433" s="27"/>
      <c r="W433" s="28"/>
      <c r="X433" s="37" t="s">
        <v>254</v>
      </c>
      <c r="Y433" s="10" t="s">
        <v>251</v>
      </c>
      <c r="Z433" s="4" t="s">
        <v>29</v>
      </c>
      <c r="AA433" s="113"/>
      <c r="AB433" s="113"/>
    </row>
    <row r="434" spans="1:28">
      <c r="A434" s="34">
        <v>467</v>
      </c>
      <c r="B434" s="31" t="s">
        <v>251</v>
      </c>
      <c r="C434" s="3" t="s">
        <v>24</v>
      </c>
      <c r="D434" s="30"/>
      <c r="E434" s="4" t="s">
        <v>29</v>
      </c>
      <c r="F434" s="30"/>
      <c r="G434" s="53" t="s">
        <v>53</v>
      </c>
      <c r="H434" s="27"/>
      <c r="I434" s="28"/>
      <c r="J434" s="99"/>
      <c r="K434" s="99"/>
      <c r="L434" s="50" t="s">
        <v>26</v>
      </c>
      <c r="M434" s="34">
        <v>467</v>
      </c>
      <c r="N434" s="32" t="s">
        <v>251</v>
      </c>
      <c r="O434" s="3" t="s">
        <v>24</v>
      </c>
      <c r="P434" s="30"/>
      <c r="Q434" s="30"/>
      <c r="R434" s="30"/>
      <c r="S434" s="28" t="s">
        <v>25</v>
      </c>
      <c r="T434" s="27"/>
      <c r="U434" s="28">
        <v>45019</v>
      </c>
      <c r="V434" s="27"/>
      <c r="W434" s="28">
        <v>45016</v>
      </c>
      <c r="X434" s="36"/>
      <c r="Y434" s="10"/>
      <c r="Z434" s="113"/>
      <c r="AA434" s="113"/>
      <c r="AB434" s="29" t="s">
        <v>260</v>
      </c>
    </row>
    <row r="435" spans="1:28">
      <c r="A435" s="34">
        <v>468</v>
      </c>
      <c r="B435" s="31" t="s">
        <v>251</v>
      </c>
      <c r="C435" s="3" t="s">
        <v>24</v>
      </c>
      <c r="D435" s="30"/>
      <c r="E435" s="4" t="s">
        <v>29</v>
      </c>
      <c r="F435" s="30"/>
      <c r="G435" s="53" t="s">
        <v>53</v>
      </c>
      <c r="H435" s="27" t="s">
        <v>257</v>
      </c>
      <c r="I435" s="28"/>
      <c r="J435" s="99"/>
      <c r="K435" s="99"/>
      <c r="L435" s="50" t="s">
        <v>26</v>
      </c>
      <c r="M435" s="34">
        <v>468</v>
      </c>
      <c r="N435" s="32" t="s">
        <v>251</v>
      </c>
      <c r="O435" s="3" t="s">
        <v>24</v>
      </c>
      <c r="P435" s="30"/>
      <c r="Q435" s="30"/>
      <c r="R435" s="30"/>
      <c r="S435" s="28" t="s">
        <v>25</v>
      </c>
      <c r="T435" s="27"/>
      <c r="U435" s="28">
        <v>45013</v>
      </c>
      <c r="V435" s="27"/>
      <c r="W435" s="28">
        <v>45010</v>
      </c>
      <c r="X435" s="36"/>
      <c r="Y435" s="10"/>
      <c r="Z435" s="113"/>
      <c r="AA435" s="113"/>
      <c r="AB435" s="113"/>
    </row>
    <row r="436" spans="1:28">
      <c r="A436" s="34">
        <v>470</v>
      </c>
      <c r="B436" s="31" t="s">
        <v>251</v>
      </c>
      <c r="C436" s="6" t="s">
        <v>46</v>
      </c>
      <c r="D436" s="30"/>
      <c r="E436" s="4" t="s">
        <v>29</v>
      </c>
      <c r="F436" s="30"/>
      <c r="G436" s="53" t="s">
        <v>53</v>
      </c>
      <c r="H436" s="28"/>
      <c r="I436" s="28"/>
      <c r="J436" s="99"/>
      <c r="K436" s="99"/>
      <c r="L436" s="50" t="s">
        <v>26</v>
      </c>
      <c r="M436" s="34">
        <v>470</v>
      </c>
      <c r="N436" s="32" t="s">
        <v>251</v>
      </c>
      <c r="O436" s="4" t="s">
        <v>29</v>
      </c>
      <c r="P436" s="30"/>
      <c r="Q436" s="30"/>
      <c r="R436" s="30"/>
      <c r="S436" s="28" t="s">
        <v>25</v>
      </c>
      <c r="T436" s="27"/>
      <c r="U436" s="28">
        <v>45027</v>
      </c>
      <c r="V436" s="27"/>
      <c r="W436" s="28">
        <v>45022</v>
      </c>
      <c r="X436" s="37"/>
      <c r="Y436" s="10"/>
      <c r="Z436" s="113"/>
      <c r="AA436" s="113"/>
      <c r="AB436" s="113"/>
    </row>
    <row r="437" spans="1:28">
      <c r="A437" s="34">
        <v>473</v>
      </c>
      <c r="B437" s="31" t="s">
        <v>251</v>
      </c>
      <c r="C437" s="4" t="s">
        <v>29</v>
      </c>
      <c r="D437" s="30"/>
      <c r="E437" s="4" t="s">
        <v>29</v>
      </c>
      <c r="F437" s="30"/>
      <c r="G437" s="53" t="s">
        <v>53</v>
      </c>
      <c r="H437" s="28"/>
      <c r="I437" s="28"/>
      <c r="J437" s="99"/>
      <c r="K437" s="99"/>
      <c r="L437" s="50" t="s">
        <v>26</v>
      </c>
      <c r="M437" s="34">
        <v>473</v>
      </c>
      <c r="N437" s="32" t="s">
        <v>251</v>
      </c>
      <c r="O437" s="4" t="s">
        <v>29</v>
      </c>
      <c r="P437" s="30"/>
      <c r="Q437" s="30"/>
      <c r="R437" s="30"/>
      <c r="S437" s="28" t="s">
        <v>25</v>
      </c>
      <c r="T437" s="27"/>
      <c r="U437" s="28">
        <v>45027</v>
      </c>
      <c r="V437" s="27"/>
      <c r="W437" s="28">
        <v>45022</v>
      </c>
      <c r="X437" s="37"/>
      <c r="Y437" s="10"/>
      <c r="Z437" s="113"/>
      <c r="AA437" s="113"/>
      <c r="AB437" s="113"/>
    </row>
    <row r="438" spans="1:28">
      <c r="A438" s="34">
        <v>474</v>
      </c>
      <c r="B438" s="31" t="s">
        <v>251</v>
      </c>
      <c r="C438" s="3" t="s">
        <v>24</v>
      </c>
      <c r="D438" s="30"/>
      <c r="E438" s="4" t="s">
        <v>29</v>
      </c>
      <c r="F438" s="30"/>
      <c r="G438" s="53" t="s">
        <v>53</v>
      </c>
      <c r="H438" s="28"/>
      <c r="I438" s="28"/>
      <c r="J438" s="99"/>
      <c r="K438" s="99"/>
      <c r="L438" s="50" t="s">
        <v>26</v>
      </c>
      <c r="M438" s="34">
        <v>474</v>
      </c>
      <c r="N438" s="32" t="s">
        <v>251</v>
      </c>
      <c r="O438" s="3" t="s">
        <v>24</v>
      </c>
      <c r="P438" s="30"/>
      <c r="Q438" s="30"/>
      <c r="R438" s="30"/>
      <c r="S438" s="28" t="s">
        <v>25</v>
      </c>
      <c r="T438" s="27"/>
      <c r="U438" s="28">
        <v>45030</v>
      </c>
      <c r="V438" s="27"/>
      <c r="W438" s="28"/>
      <c r="X438" s="37" t="s">
        <v>254</v>
      </c>
      <c r="Y438" s="10" t="s">
        <v>251</v>
      </c>
      <c r="Z438" s="4" t="s">
        <v>29</v>
      </c>
      <c r="AA438" s="113"/>
      <c r="AB438" s="113"/>
    </row>
    <row r="439" spans="1:28">
      <c r="A439" s="34">
        <v>475</v>
      </c>
      <c r="B439" s="31" t="s">
        <v>251</v>
      </c>
      <c r="C439" s="6" t="s">
        <v>46</v>
      </c>
      <c r="D439" s="30"/>
      <c r="E439" s="4" t="s">
        <v>29</v>
      </c>
      <c r="F439" s="30"/>
      <c r="G439" s="53" t="s">
        <v>53</v>
      </c>
      <c r="H439" s="28"/>
      <c r="I439" s="28"/>
      <c r="J439" s="99"/>
      <c r="K439" s="99"/>
      <c r="L439" s="50" t="s">
        <v>26</v>
      </c>
      <c r="M439" s="34">
        <v>475</v>
      </c>
      <c r="N439" s="32" t="s">
        <v>251</v>
      </c>
      <c r="O439" s="4" t="s">
        <v>29</v>
      </c>
      <c r="P439" s="30"/>
      <c r="Q439" s="30"/>
      <c r="R439" s="30"/>
      <c r="S439" s="28" t="s">
        <v>25</v>
      </c>
      <c r="T439" s="27"/>
      <c r="U439" s="28">
        <v>45030</v>
      </c>
      <c r="V439" s="27"/>
      <c r="W439" s="28"/>
      <c r="X439" s="37"/>
      <c r="Y439" s="10"/>
      <c r="Z439" s="113"/>
      <c r="AA439" s="113"/>
      <c r="AB439" s="113"/>
    </row>
    <row r="440" spans="1:28">
      <c r="A440" s="36" t="s">
        <v>266</v>
      </c>
      <c r="B440" s="31" t="s">
        <v>251</v>
      </c>
      <c r="C440" s="3" t="s">
        <v>24</v>
      </c>
      <c r="D440" s="29"/>
      <c r="E440" s="3" t="s">
        <v>24</v>
      </c>
      <c r="F440" s="29"/>
      <c r="G440" s="53" t="s">
        <v>53</v>
      </c>
      <c r="H440" s="28"/>
      <c r="I440" s="28"/>
      <c r="J440" s="99"/>
      <c r="K440" s="99"/>
      <c r="L440" s="50" t="s">
        <v>26</v>
      </c>
      <c r="M440" s="34">
        <v>490</v>
      </c>
      <c r="N440" s="32" t="s">
        <v>251</v>
      </c>
      <c r="O440" s="29"/>
      <c r="P440" s="30"/>
      <c r="Q440" s="30"/>
      <c r="R440" s="30"/>
      <c r="S440" s="28"/>
      <c r="T440" s="28"/>
      <c r="U440" s="28"/>
      <c r="V440" s="28"/>
      <c r="W440" s="28"/>
      <c r="X440" s="37" t="s">
        <v>254</v>
      </c>
      <c r="Y440" s="10" t="s">
        <v>251</v>
      </c>
      <c r="Z440" s="4" t="s">
        <v>29</v>
      </c>
      <c r="AA440" s="113"/>
      <c r="AB440" s="113"/>
    </row>
    <row r="441" spans="1:28">
      <c r="A441" s="34">
        <v>500</v>
      </c>
      <c r="B441" s="31" t="s">
        <v>251</v>
      </c>
      <c r="C441" s="4" t="s">
        <v>29</v>
      </c>
      <c r="D441" s="30"/>
      <c r="E441" s="4" t="s">
        <v>29</v>
      </c>
      <c r="F441" s="30"/>
      <c r="G441" s="53" t="s">
        <v>53</v>
      </c>
      <c r="H441" s="27"/>
      <c r="I441" s="27"/>
      <c r="J441" s="99"/>
      <c r="K441" s="99"/>
      <c r="L441" s="123"/>
      <c r="M441" s="8"/>
      <c r="N441" s="32"/>
      <c r="O441" s="113"/>
      <c r="P441" s="113"/>
      <c r="Q441" s="113"/>
      <c r="R441" s="113"/>
      <c r="S441" s="113"/>
      <c r="T441" s="27"/>
      <c r="U441" s="27"/>
      <c r="V441" s="27"/>
      <c r="W441" s="28"/>
      <c r="X441" s="36"/>
      <c r="Y441" s="10"/>
      <c r="Z441" s="113"/>
      <c r="AA441" s="113"/>
      <c r="AB441" s="113"/>
    </row>
    <row r="442" spans="1:28">
      <c r="A442" s="34">
        <v>517</v>
      </c>
      <c r="B442" s="31" t="s">
        <v>251</v>
      </c>
      <c r="C442" s="4" t="s">
        <v>29</v>
      </c>
      <c r="D442" s="30"/>
      <c r="E442" s="6" t="s">
        <v>46</v>
      </c>
      <c r="F442" s="30"/>
      <c r="G442" s="53" t="s">
        <v>53</v>
      </c>
      <c r="H442" s="28"/>
      <c r="I442" s="28"/>
      <c r="J442" s="99"/>
      <c r="K442" s="99"/>
      <c r="L442" s="50" t="s">
        <v>26</v>
      </c>
      <c r="M442" s="34">
        <v>517</v>
      </c>
      <c r="N442" s="32" t="s">
        <v>251</v>
      </c>
      <c r="O442" s="3" t="s">
        <v>24</v>
      </c>
      <c r="P442" s="30"/>
      <c r="Q442" s="30"/>
      <c r="R442" s="30"/>
      <c r="S442" s="28" t="s">
        <v>25</v>
      </c>
      <c r="T442" s="27"/>
      <c r="U442" s="28">
        <v>45027</v>
      </c>
      <c r="V442" s="27"/>
      <c r="W442" s="28"/>
      <c r="X442" s="37"/>
      <c r="Y442" s="10"/>
      <c r="Z442" s="113"/>
      <c r="AA442" s="113"/>
      <c r="AB442" s="113"/>
    </row>
    <row r="443" spans="1:28">
      <c r="A443" s="34">
        <v>540</v>
      </c>
      <c r="B443" s="31" t="s">
        <v>251</v>
      </c>
      <c r="C443" s="4" t="s">
        <v>29</v>
      </c>
      <c r="D443" s="30"/>
      <c r="E443" s="4" t="s">
        <v>29</v>
      </c>
      <c r="F443" s="30"/>
      <c r="G443" s="53" t="s">
        <v>53</v>
      </c>
      <c r="H443" s="27"/>
      <c r="I443" s="27"/>
      <c r="J443" s="99"/>
      <c r="K443" s="99"/>
      <c r="L443" s="50" t="s">
        <v>26</v>
      </c>
      <c r="M443" s="34">
        <v>540</v>
      </c>
      <c r="N443" s="32" t="s">
        <v>251</v>
      </c>
      <c r="O443" s="4" t="s">
        <v>29</v>
      </c>
      <c r="P443" s="30"/>
      <c r="Q443" s="30"/>
      <c r="R443" s="30"/>
      <c r="S443" s="28" t="s">
        <v>25</v>
      </c>
      <c r="T443" s="27"/>
      <c r="U443" s="28">
        <v>45012</v>
      </c>
      <c r="V443" s="27"/>
      <c r="W443" s="28"/>
      <c r="X443" s="36"/>
      <c r="Y443" s="10"/>
      <c r="Z443" s="113"/>
      <c r="AA443" s="113"/>
      <c r="AB443" s="113"/>
    </row>
    <row r="444" spans="1:28">
      <c r="A444" s="34">
        <v>545</v>
      </c>
      <c r="B444" s="31" t="s">
        <v>251</v>
      </c>
      <c r="C444" s="3" t="s">
        <v>24</v>
      </c>
      <c r="D444" s="30"/>
      <c r="E444" s="3" t="s">
        <v>24</v>
      </c>
      <c r="F444" s="30"/>
      <c r="G444" s="53" t="s">
        <v>53</v>
      </c>
      <c r="H444" s="27"/>
      <c r="I444" s="27"/>
      <c r="J444" s="99"/>
      <c r="K444" s="99"/>
      <c r="L444" s="50" t="s">
        <v>26</v>
      </c>
      <c r="M444" s="34">
        <v>545</v>
      </c>
      <c r="N444" s="32" t="s">
        <v>251</v>
      </c>
      <c r="O444" s="3" t="s">
        <v>24</v>
      </c>
      <c r="P444" s="30"/>
      <c r="Q444" s="30"/>
      <c r="R444" s="30"/>
      <c r="S444" s="28" t="s">
        <v>25</v>
      </c>
      <c r="T444" s="27"/>
      <c r="U444" s="28">
        <v>45013</v>
      </c>
      <c r="V444" s="27"/>
      <c r="W444" s="28"/>
      <c r="X444" s="36"/>
      <c r="Y444" s="10"/>
      <c r="Z444" s="113"/>
      <c r="AA444" s="113"/>
      <c r="AB444" s="113"/>
    </row>
    <row r="445" spans="1:28">
      <c r="A445" s="34">
        <v>558</v>
      </c>
      <c r="B445" s="31" t="s">
        <v>251</v>
      </c>
      <c r="C445" s="29"/>
      <c r="D445" s="30"/>
      <c r="E445" s="4" t="s">
        <v>29</v>
      </c>
      <c r="F445" s="30"/>
      <c r="G445" s="53" t="s">
        <v>53</v>
      </c>
      <c r="H445" s="27"/>
      <c r="I445" s="28"/>
      <c r="J445" s="99"/>
      <c r="K445" s="99"/>
      <c r="L445" s="50" t="s">
        <v>26</v>
      </c>
      <c r="M445" s="34">
        <v>558</v>
      </c>
      <c r="N445" s="32" t="s">
        <v>251</v>
      </c>
      <c r="O445" s="29"/>
      <c r="P445" s="30"/>
      <c r="Q445" s="30"/>
      <c r="R445" s="30"/>
      <c r="S445" s="28" t="s">
        <v>25</v>
      </c>
      <c r="T445" s="27"/>
      <c r="U445" s="27"/>
      <c r="V445" s="27"/>
      <c r="W445" s="28"/>
      <c r="X445" s="36"/>
      <c r="Y445" s="10"/>
      <c r="Z445" s="113"/>
      <c r="AA445" s="113"/>
      <c r="AB445" s="113"/>
    </row>
    <row r="446" spans="1:28">
      <c r="A446" s="34">
        <v>560</v>
      </c>
      <c r="B446" s="31" t="s">
        <v>251</v>
      </c>
      <c r="C446" s="29"/>
      <c r="D446" s="30"/>
      <c r="E446" s="4" t="s">
        <v>29</v>
      </c>
      <c r="F446" s="30"/>
      <c r="G446" s="53" t="s">
        <v>53</v>
      </c>
      <c r="H446" s="27"/>
      <c r="I446" s="28"/>
      <c r="J446" s="99"/>
      <c r="K446" s="99"/>
      <c r="L446" s="50" t="s">
        <v>26</v>
      </c>
      <c r="M446" s="34">
        <v>560</v>
      </c>
      <c r="N446" s="32" t="s">
        <v>251</v>
      </c>
      <c r="O446" s="29"/>
      <c r="P446" s="30"/>
      <c r="Q446" s="30"/>
      <c r="R446" s="30"/>
      <c r="S446" s="28" t="s">
        <v>25</v>
      </c>
      <c r="T446" s="27"/>
      <c r="U446" s="27"/>
      <c r="V446" s="27"/>
      <c r="W446" s="28"/>
      <c r="X446" s="36"/>
      <c r="Y446" s="10"/>
      <c r="Z446" s="113"/>
      <c r="AA446" s="113"/>
      <c r="AB446" s="113"/>
    </row>
    <row r="447" spans="1:28">
      <c r="A447" s="34">
        <v>567</v>
      </c>
      <c r="B447" s="31" t="s">
        <v>251</v>
      </c>
      <c r="C447" s="29"/>
      <c r="D447" s="30"/>
      <c r="E447" s="4" t="s">
        <v>29</v>
      </c>
      <c r="F447" s="30"/>
      <c r="G447" s="53" t="s">
        <v>53</v>
      </c>
      <c r="H447" s="27"/>
      <c r="I447" s="28"/>
      <c r="J447" s="99"/>
      <c r="K447" s="99"/>
      <c r="L447" s="50" t="s">
        <v>26</v>
      </c>
      <c r="M447" s="34">
        <v>567</v>
      </c>
      <c r="N447" s="32" t="s">
        <v>251</v>
      </c>
      <c r="O447" s="4" t="s">
        <v>29</v>
      </c>
      <c r="P447" s="30"/>
      <c r="Q447" s="30"/>
      <c r="R447" s="30"/>
      <c r="S447" s="28" t="s">
        <v>25</v>
      </c>
      <c r="T447" s="27"/>
      <c r="U447" s="27"/>
      <c r="V447" s="27"/>
      <c r="W447" s="28"/>
      <c r="X447" s="36"/>
      <c r="Y447" s="10"/>
      <c r="Z447" s="113"/>
      <c r="AA447" s="113"/>
      <c r="AB447" s="113"/>
    </row>
    <row r="448" spans="1:28">
      <c r="A448" s="34">
        <v>570</v>
      </c>
      <c r="B448" s="31" t="s">
        <v>251</v>
      </c>
      <c r="C448" s="27"/>
      <c r="D448" s="30"/>
      <c r="E448" s="6" t="s">
        <v>46</v>
      </c>
      <c r="F448" s="30"/>
      <c r="G448" s="53" t="s">
        <v>53</v>
      </c>
      <c r="H448" s="27"/>
      <c r="I448" s="28"/>
      <c r="J448" s="99"/>
      <c r="K448" s="99"/>
      <c r="L448" s="50" t="s">
        <v>26</v>
      </c>
      <c r="M448" s="34">
        <v>570</v>
      </c>
      <c r="N448" s="32" t="s">
        <v>251</v>
      </c>
      <c r="O448" s="3" t="s">
        <v>24</v>
      </c>
      <c r="P448" s="30"/>
      <c r="Q448" s="30"/>
      <c r="R448" s="30"/>
      <c r="S448" s="28" t="s">
        <v>25</v>
      </c>
      <c r="T448" s="27"/>
      <c r="U448" s="27"/>
      <c r="V448" s="27"/>
      <c r="W448" s="28"/>
      <c r="X448" s="36"/>
      <c r="Y448" s="10"/>
      <c r="Z448" s="113"/>
      <c r="AA448" s="113"/>
      <c r="AB448" s="113"/>
    </row>
    <row r="449" spans="1:28">
      <c r="A449" s="34">
        <v>571</v>
      </c>
      <c r="B449" s="31" t="s">
        <v>251</v>
      </c>
      <c r="C449" s="29"/>
      <c r="D449" s="30"/>
      <c r="E449" s="4" t="s">
        <v>29</v>
      </c>
      <c r="F449" s="30"/>
      <c r="G449" s="53" t="s">
        <v>53</v>
      </c>
      <c r="H449" s="27"/>
      <c r="I449" s="28"/>
      <c r="J449" s="99"/>
      <c r="K449" s="99"/>
      <c r="L449" s="50" t="s">
        <v>26</v>
      </c>
      <c r="M449" s="34">
        <v>571</v>
      </c>
      <c r="N449" s="32" t="s">
        <v>251</v>
      </c>
      <c r="O449" s="4" t="s">
        <v>29</v>
      </c>
      <c r="P449" s="30"/>
      <c r="Q449" s="30"/>
      <c r="R449" s="30"/>
      <c r="S449" s="28" t="s">
        <v>25</v>
      </c>
      <c r="T449" s="27"/>
      <c r="U449" s="28">
        <v>45037</v>
      </c>
      <c r="V449" s="27"/>
      <c r="W449" s="28"/>
      <c r="X449" s="36"/>
      <c r="Y449" s="10"/>
      <c r="Z449" s="113"/>
      <c r="AA449" s="113"/>
      <c r="AB449" s="113"/>
    </row>
    <row r="450" spans="1:28">
      <c r="A450" s="34">
        <v>573</v>
      </c>
      <c r="B450" s="31" t="s">
        <v>251</v>
      </c>
      <c r="C450" s="3" t="s">
        <v>24</v>
      </c>
      <c r="D450" s="30"/>
      <c r="E450" s="4" t="s">
        <v>29</v>
      </c>
      <c r="F450" s="30"/>
      <c r="G450" s="53" t="s">
        <v>53</v>
      </c>
      <c r="H450" s="27"/>
      <c r="I450" s="28"/>
      <c r="J450" s="99"/>
      <c r="K450" s="99"/>
      <c r="L450" s="50" t="s">
        <v>26</v>
      </c>
      <c r="M450" s="34">
        <v>573</v>
      </c>
      <c r="N450" s="32" t="s">
        <v>251</v>
      </c>
      <c r="O450" s="29"/>
      <c r="P450" s="30"/>
      <c r="Q450" s="30"/>
      <c r="R450" s="30"/>
      <c r="S450" s="28" t="s">
        <v>25</v>
      </c>
      <c r="T450" s="27"/>
      <c r="U450" s="27"/>
      <c r="V450" s="27"/>
      <c r="W450" s="28"/>
      <c r="X450" s="36"/>
      <c r="Y450" s="10"/>
      <c r="Z450" s="113"/>
      <c r="AA450" s="113"/>
      <c r="AB450" s="113"/>
    </row>
    <row r="451" spans="1:28">
      <c r="A451" s="34">
        <v>1143</v>
      </c>
      <c r="B451" s="31" t="s">
        <v>251</v>
      </c>
      <c r="C451" s="29"/>
      <c r="D451" s="30"/>
      <c r="E451" s="3" t="s">
        <v>24</v>
      </c>
      <c r="F451" s="30"/>
      <c r="G451" s="53" t="s">
        <v>53</v>
      </c>
      <c r="H451" s="27"/>
      <c r="I451" s="27"/>
      <c r="J451" s="99"/>
      <c r="K451" s="99"/>
      <c r="L451" s="50" t="s">
        <v>26</v>
      </c>
      <c r="M451" s="34">
        <v>1143</v>
      </c>
      <c r="N451" s="32" t="s">
        <v>251</v>
      </c>
      <c r="O451" s="3" t="s">
        <v>24</v>
      </c>
      <c r="P451" s="30"/>
      <c r="Q451" s="30"/>
      <c r="R451" s="30"/>
      <c r="S451" s="28" t="s">
        <v>25</v>
      </c>
      <c r="T451" s="27"/>
      <c r="U451" s="28">
        <v>45054</v>
      </c>
      <c r="V451" s="27"/>
      <c r="W451" s="28"/>
      <c r="X451" s="36"/>
      <c r="Y451" s="10"/>
      <c r="Z451" s="113"/>
      <c r="AA451" s="113"/>
      <c r="AB451" s="113"/>
    </row>
    <row r="452" spans="1:28">
      <c r="A452" s="34">
        <v>1489</v>
      </c>
      <c r="B452" s="31" t="s">
        <v>251</v>
      </c>
      <c r="C452" s="29"/>
      <c r="D452" s="30"/>
      <c r="E452" s="4" t="s">
        <v>29</v>
      </c>
      <c r="F452" s="30"/>
      <c r="G452" s="53" t="s">
        <v>53</v>
      </c>
      <c r="H452" s="28"/>
      <c r="I452" s="28"/>
      <c r="J452" s="99"/>
      <c r="K452" s="99"/>
      <c r="L452" s="50" t="s">
        <v>26</v>
      </c>
      <c r="M452" s="34">
        <v>1489</v>
      </c>
      <c r="N452" s="32" t="s">
        <v>251</v>
      </c>
      <c r="O452" s="29"/>
      <c r="P452" s="30"/>
      <c r="Q452" s="30"/>
      <c r="R452" s="30"/>
      <c r="S452" s="28" t="s">
        <v>25</v>
      </c>
      <c r="T452" s="27"/>
      <c r="U452" s="27"/>
      <c r="V452" s="27"/>
      <c r="W452" s="28"/>
      <c r="X452" s="37"/>
      <c r="Y452" s="10"/>
      <c r="Z452" s="113"/>
      <c r="AA452" s="113"/>
      <c r="AB452" s="113"/>
    </row>
    <row r="453" spans="1:28">
      <c r="A453" s="34">
        <v>1421</v>
      </c>
      <c r="B453" s="31" t="s">
        <v>251</v>
      </c>
      <c r="C453" s="29"/>
      <c r="D453" s="30"/>
      <c r="E453" s="4" t="s">
        <v>29</v>
      </c>
      <c r="F453" s="30"/>
      <c r="G453" s="53" t="s">
        <v>53</v>
      </c>
      <c r="H453" s="28"/>
      <c r="I453" s="28"/>
      <c r="J453" s="99"/>
      <c r="K453" s="99"/>
      <c r="L453" s="50" t="s">
        <v>26</v>
      </c>
      <c r="M453" s="34">
        <v>1421</v>
      </c>
      <c r="N453" s="32" t="s">
        <v>251</v>
      </c>
      <c r="O453" s="3" t="s">
        <v>24</v>
      </c>
      <c r="P453" s="30"/>
      <c r="Q453" s="30"/>
      <c r="R453" s="30"/>
      <c r="S453" s="28" t="s">
        <v>25</v>
      </c>
      <c r="T453" s="28"/>
      <c r="U453" s="28">
        <v>45033</v>
      </c>
      <c r="V453" s="28"/>
      <c r="W453" s="28"/>
      <c r="X453" s="37" t="s">
        <v>254</v>
      </c>
      <c r="Y453" s="10" t="s">
        <v>251</v>
      </c>
      <c r="Z453" s="4" t="s">
        <v>29</v>
      </c>
      <c r="AA453" s="113"/>
      <c r="AB453" s="113"/>
    </row>
    <row r="454" spans="1:28">
      <c r="A454" s="34">
        <v>1519</v>
      </c>
      <c r="B454" s="31" t="s">
        <v>251</v>
      </c>
      <c r="C454" s="29"/>
      <c r="D454" s="30"/>
      <c r="E454" s="4" t="s">
        <v>29</v>
      </c>
      <c r="F454" s="30"/>
      <c r="G454" s="53" t="s">
        <v>53</v>
      </c>
      <c r="H454" s="28"/>
      <c r="I454" s="28"/>
      <c r="J454" s="99"/>
      <c r="K454" s="99"/>
      <c r="L454" s="50" t="s">
        <v>26</v>
      </c>
      <c r="M454" s="34">
        <v>1519</v>
      </c>
      <c r="N454" s="32" t="s">
        <v>251</v>
      </c>
      <c r="O454" s="3" t="s">
        <v>24</v>
      </c>
      <c r="P454" s="30"/>
      <c r="Q454" s="30"/>
      <c r="R454" s="30"/>
      <c r="S454" s="28" t="s">
        <v>25</v>
      </c>
      <c r="T454" s="28"/>
      <c r="U454" s="28">
        <v>45044</v>
      </c>
      <c r="V454" s="28"/>
      <c r="W454" s="28"/>
      <c r="X454" s="37" t="s">
        <v>254</v>
      </c>
      <c r="Y454" s="10" t="s">
        <v>251</v>
      </c>
      <c r="Z454" s="4" t="s">
        <v>29</v>
      </c>
      <c r="AA454" s="113"/>
      <c r="AB454" s="113"/>
    </row>
    <row r="455" spans="1:28">
      <c r="A455" s="34">
        <v>1561</v>
      </c>
      <c r="B455" s="31" t="s">
        <v>251</v>
      </c>
      <c r="C455" s="29"/>
      <c r="D455" s="30"/>
      <c r="E455" s="29"/>
      <c r="F455" s="30"/>
      <c r="G455" s="53" t="s">
        <v>53</v>
      </c>
      <c r="H455" s="28"/>
      <c r="I455" s="28"/>
      <c r="J455" s="99"/>
      <c r="K455" s="99"/>
      <c r="L455" s="50" t="s">
        <v>26</v>
      </c>
      <c r="M455" s="34">
        <v>1561</v>
      </c>
      <c r="N455" s="32" t="s">
        <v>251</v>
      </c>
      <c r="O455" s="3" t="s">
        <v>24</v>
      </c>
      <c r="P455" s="30"/>
      <c r="Q455" s="30"/>
      <c r="R455" s="30"/>
      <c r="S455" s="28" t="s">
        <v>25</v>
      </c>
      <c r="T455" s="28"/>
      <c r="U455" s="28">
        <v>45037</v>
      </c>
      <c r="V455" s="28"/>
      <c r="W455" s="28"/>
      <c r="X455" s="37"/>
      <c r="Y455" s="10"/>
      <c r="Z455" s="113"/>
      <c r="AA455" s="113"/>
      <c r="AB455" s="113"/>
    </row>
    <row r="456" spans="1:28">
      <c r="A456" s="34">
        <v>3452</v>
      </c>
      <c r="B456" s="31" t="s">
        <v>251</v>
      </c>
      <c r="C456" s="3" t="s">
        <v>24</v>
      </c>
      <c r="D456" s="30"/>
      <c r="E456" s="29"/>
      <c r="F456" s="30"/>
      <c r="G456" s="53" t="s">
        <v>53</v>
      </c>
      <c r="H456" s="27"/>
      <c r="I456" s="28"/>
      <c r="J456" s="99"/>
      <c r="K456" s="99"/>
      <c r="L456" s="123"/>
      <c r="M456" s="8"/>
      <c r="N456" s="32"/>
      <c r="O456" s="113"/>
      <c r="P456" s="113"/>
      <c r="Q456" s="113"/>
      <c r="R456" s="113"/>
      <c r="S456" s="113"/>
      <c r="T456" s="27"/>
      <c r="U456" s="27"/>
      <c r="V456" s="27"/>
      <c r="W456" s="28"/>
      <c r="X456" s="36"/>
      <c r="Y456" s="10"/>
      <c r="Z456" s="113"/>
      <c r="AA456" s="113"/>
      <c r="AB456" s="113"/>
    </row>
    <row r="457" spans="1:28">
      <c r="A457" s="34">
        <v>4987</v>
      </c>
      <c r="B457" s="31" t="s">
        <v>251</v>
      </c>
      <c r="C457" s="29"/>
      <c r="D457" s="30"/>
      <c r="E457" s="4" t="s">
        <v>29</v>
      </c>
      <c r="F457" s="30"/>
      <c r="G457" s="53" t="s">
        <v>53</v>
      </c>
      <c r="H457" s="28"/>
      <c r="I457" s="28"/>
      <c r="J457" s="99"/>
      <c r="K457" s="99"/>
      <c r="L457" s="50" t="s">
        <v>26</v>
      </c>
      <c r="M457" s="34">
        <v>4987</v>
      </c>
      <c r="N457" s="32" t="s">
        <v>251</v>
      </c>
      <c r="O457" s="4" t="s">
        <v>29</v>
      </c>
      <c r="P457" s="30"/>
      <c r="Q457" s="30"/>
      <c r="R457" s="30"/>
      <c r="S457" s="28" t="s">
        <v>25</v>
      </c>
      <c r="T457" s="28"/>
      <c r="U457" s="28">
        <v>45030</v>
      </c>
      <c r="V457" s="28"/>
      <c r="W457" s="28"/>
      <c r="X457" s="37"/>
      <c r="Y457" s="10"/>
      <c r="Z457" s="113"/>
      <c r="AA457" s="113"/>
      <c r="AB457" s="113"/>
    </row>
    <row r="458" spans="1:28">
      <c r="A458" s="34" t="s">
        <v>267</v>
      </c>
      <c r="B458" s="31" t="s">
        <v>251</v>
      </c>
      <c r="C458" s="4" t="s">
        <v>29</v>
      </c>
      <c r="D458" s="30"/>
      <c r="E458" s="4" t="s">
        <v>29</v>
      </c>
      <c r="F458" s="30"/>
      <c r="G458" s="53" t="s">
        <v>53</v>
      </c>
      <c r="H458" s="27"/>
      <c r="I458" s="27"/>
      <c r="J458" s="99"/>
      <c r="K458" s="99"/>
      <c r="L458" s="50" t="s">
        <v>26</v>
      </c>
      <c r="M458" s="34" t="s">
        <v>267</v>
      </c>
      <c r="N458" s="32" t="s">
        <v>251</v>
      </c>
      <c r="O458" s="4" t="s">
        <v>29</v>
      </c>
      <c r="P458" s="30"/>
      <c r="Q458" s="30"/>
      <c r="R458" s="30"/>
      <c r="S458" s="28" t="s">
        <v>25</v>
      </c>
      <c r="T458" s="27"/>
      <c r="U458" s="27"/>
      <c r="V458" s="27"/>
      <c r="W458" s="28"/>
      <c r="X458" s="36"/>
      <c r="Y458" s="10"/>
      <c r="Z458" s="113"/>
      <c r="AA458" s="113"/>
      <c r="AB458" s="113"/>
    </row>
    <row r="459" spans="1:28">
      <c r="A459" s="34" t="s">
        <v>268</v>
      </c>
      <c r="B459" s="31" t="s">
        <v>251</v>
      </c>
      <c r="C459" s="4" t="s">
        <v>29</v>
      </c>
      <c r="D459" s="30"/>
      <c r="E459" s="4" t="s">
        <v>29</v>
      </c>
      <c r="F459" s="30"/>
      <c r="G459" s="53" t="s">
        <v>53</v>
      </c>
      <c r="H459" s="27"/>
      <c r="I459" s="27"/>
      <c r="J459" s="99"/>
      <c r="K459" s="99"/>
      <c r="L459" s="50" t="s">
        <v>26</v>
      </c>
      <c r="M459" s="34" t="s">
        <v>268</v>
      </c>
      <c r="N459" s="32" t="s">
        <v>251</v>
      </c>
      <c r="O459" s="4" t="s">
        <v>29</v>
      </c>
      <c r="P459" s="30"/>
      <c r="Q459" s="30"/>
      <c r="R459" s="30"/>
      <c r="S459" s="28" t="s">
        <v>25</v>
      </c>
      <c r="T459" s="27"/>
      <c r="U459" s="28">
        <v>45051</v>
      </c>
      <c r="V459" s="27"/>
      <c r="W459" s="28"/>
      <c r="X459" s="36"/>
      <c r="Y459" s="10"/>
      <c r="Z459" s="113"/>
      <c r="AA459" s="113"/>
      <c r="AB459" s="113"/>
    </row>
    <row r="460" spans="1:28">
      <c r="A460" s="34">
        <v>4931</v>
      </c>
      <c r="B460" s="31" t="s">
        <v>251</v>
      </c>
      <c r="C460" s="29"/>
      <c r="D460" s="30"/>
      <c r="E460" s="4" t="s">
        <v>29</v>
      </c>
      <c r="F460" s="30"/>
      <c r="G460" s="53" t="s">
        <v>53</v>
      </c>
      <c r="H460" s="27"/>
      <c r="I460" s="27"/>
      <c r="J460" s="99"/>
      <c r="K460" s="99"/>
      <c r="L460" s="50" t="s">
        <v>26</v>
      </c>
      <c r="M460" s="34">
        <v>4931</v>
      </c>
      <c r="N460" s="32" t="s">
        <v>251</v>
      </c>
      <c r="O460" s="3" t="s">
        <v>24</v>
      </c>
      <c r="P460" s="30"/>
      <c r="Q460" s="30"/>
      <c r="R460" s="30"/>
      <c r="S460" s="28" t="s">
        <v>25</v>
      </c>
      <c r="T460" s="27"/>
      <c r="U460" s="28">
        <v>45044</v>
      </c>
      <c r="V460" s="27"/>
      <c r="W460" s="28"/>
      <c r="X460" s="36" t="s">
        <v>254</v>
      </c>
      <c r="Y460" s="10" t="s">
        <v>251</v>
      </c>
      <c r="Z460" s="4" t="s">
        <v>29</v>
      </c>
      <c r="AA460" s="113"/>
      <c r="AB460" s="113"/>
    </row>
    <row r="461" spans="1:28">
      <c r="A461" s="34" t="s">
        <v>269</v>
      </c>
      <c r="B461" s="31" t="s">
        <v>251</v>
      </c>
      <c r="C461" s="29"/>
      <c r="D461" s="30"/>
      <c r="E461" s="3" t="s">
        <v>24</v>
      </c>
      <c r="F461" s="30"/>
      <c r="G461" s="53" t="s">
        <v>53</v>
      </c>
      <c r="H461" s="27"/>
      <c r="I461" s="28"/>
      <c r="J461" s="99"/>
      <c r="K461" s="99"/>
      <c r="L461" s="50" t="s">
        <v>26</v>
      </c>
      <c r="M461" s="34" t="s">
        <v>269</v>
      </c>
      <c r="N461" s="32" t="s">
        <v>251</v>
      </c>
      <c r="O461" s="3" t="s">
        <v>24</v>
      </c>
      <c r="P461" s="30"/>
      <c r="Q461" s="30"/>
      <c r="R461" s="30"/>
      <c r="S461" s="28" t="s">
        <v>25</v>
      </c>
      <c r="T461" s="27"/>
      <c r="U461" s="27"/>
      <c r="V461" s="27"/>
      <c r="W461" s="28"/>
      <c r="X461" s="36"/>
      <c r="Y461" s="10"/>
      <c r="Z461" s="113"/>
      <c r="AA461" s="113"/>
      <c r="AB461" s="113"/>
    </row>
    <row r="462" spans="1:28">
      <c r="A462" s="34" t="s">
        <v>270</v>
      </c>
      <c r="B462" s="31" t="s">
        <v>251</v>
      </c>
      <c r="C462" s="4" t="s">
        <v>29</v>
      </c>
      <c r="D462" s="30"/>
      <c r="E462" s="29"/>
      <c r="F462" s="30"/>
      <c r="G462" s="53" t="s">
        <v>53</v>
      </c>
      <c r="H462" s="27"/>
      <c r="I462" s="27"/>
      <c r="J462" s="99"/>
      <c r="K462" s="99"/>
      <c r="L462" s="50" t="s">
        <v>26</v>
      </c>
      <c r="M462" s="34" t="s">
        <v>270</v>
      </c>
      <c r="N462" s="32" t="s">
        <v>251</v>
      </c>
      <c r="O462" s="29"/>
      <c r="P462" s="30"/>
      <c r="Q462" s="30"/>
      <c r="R462" s="30"/>
      <c r="S462" s="28" t="s">
        <v>25</v>
      </c>
      <c r="T462" s="27"/>
      <c r="U462" s="27"/>
      <c r="V462" s="27"/>
      <c r="W462" s="28"/>
      <c r="X462" s="36"/>
      <c r="Y462" s="10"/>
      <c r="Z462" s="113"/>
      <c r="AA462" s="113"/>
      <c r="AB462" s="113"/>
    </row>
    <row r="463" spans="1:28">
      <c r="A463" s="34" t="s">
        <v>271</v>
      </c>
      <c r="B463" s="31" t="s">
        <v>251</v>
      </c>
      <c r="C463" s="3" t="s">
        <v>24</v>
      </c>
      <c r="D463" s="30"/>
      <c r="E463" s="3" t="s">
        <v>24</v>
      </c>
      <c r="F463" s="30"/>
      <c r="G463" s="53" t="s">
        <v>53</v>
      </c>
      <c r="H463" s="27"/>
      <c r="I463" s="27"/>
      <c r="J463" s="99"/>
      <c r="K463" s="99"/>
      <c r="L463" s="50" t="s">
        <v>26</v>
      </c>
      <c r="M463" s="34" t="s">
        <v>271</v>
      </c>
      <c r="N463" s="32" t="s">
        <v>251</v>
      </c>
      <c r="O463" s="29"/>
      <c r="P463" s="30"/>
      <c r="Q463" s="30"/>
      <c r="R463" s="30"/>
      <c r="S463" s="28" t="s">
        <v>25</v>
      </c>
      <c r="T463" s="27"/>
      <c r="U463" s="28">
        <v>45019</v>
      </c>
      <c r="V463" s="27"/>
      <c r="W463" s="28"/>
      <c r="X463" s="36"/>
      <c r="Z463" s="113"/>
      <c r="AA463" s="113"/>
      <c r="AB463" s="113"/>
    </row>
    <row r="464" spans="1:28">
      <c r="A464" s="17"/>
      <c r="B464" s="17"/>
      <c r="C464" s="108"/>
      <c r="D464" s="108"/>
      <c r="E464" s="108"/>
      <c r="F464" s="108"/>
      <c r="G464" s="109"/>
      <c r="H464" s="108"/>
      <c r="I464" s="108"/>
      <c r="J464" s="110"/>
      <c r="K464" s="110"/>
      <c r="L464" s="111"/>
      <c r="M464" s="17"/>
      <c r="N464" s="18"/>
      <c r="O464" s="108"/>
      <c r="P464" s="108"/>
      <c r="Q464" s="108"/>
      <c r="R464" s="108"/>
      <c r="S464" s="108"/>
      <c r="T464" s="108"/>
      <c r="U464" s="108"/>
      <c r="V464" s="108"/>
      <c r="W464" s="112"/>
      <c r="X464" s="17"/>
      <c r="Y464" s="17"/>
      <c r="Z464" s="108"/>
      <c r="AA464" s="108"/>
      <c r="AB464" s="108"/>
    </row>
    <row r="465" spans="1:28">
      <c r="A465" s="35">
        <v>943</v>
      </c>
      <c r="B465" s="38" t="s">
        <v>272</v>
      </c>
      <c r="C465" s="4" t="s">
        <v>29</v>
      </c>
      <c r="D465" s="39"/>
      <c r="E465" s="39"/>
      <c r="F465" s="39"/>
      <c r="G465" s="124" t="s">
        <v>53</v>
      </c>
      <c r="H465" s="27"/>
      <c r="I465" s="28"/>
      <c r="J465" s="125">
        <v>45432</v>
      </c>
      <c r="K465" s="99"/>
      <c r="L465" s="50" t="s">
        <v>238</v>
      </c>
      <c r="M465" s="36"/>
      <c r="N465" s="40"/>
      <c r="O465" s="39"/>
      <c r="P465" s="39"/>
      <c r="Q465" s="39"/>
      <c r="R465" s="39"/>
      <c r="S465" s="39"/>
      <c r="W465" s="1"/>
      <c r="Y465" s="10"/>
      <c r="AB465" s="39"/>
    </row>
    <row r="466" spans="1:28">
      <c r="A466" s="35">
        <v>1019</v>
      </c>
      <c r="B466" s="38" t="s">
        <v>272</v>
      </c>
      <c r="C466" s="4" t="s">
        <v>29</v>
      </c>
      <c r="D466" s="39"/>
      <c r="E466" s="39"/>
      <c r="F466" s="39"/>
      <c r="G466" s="124" t="s">
        <v>53</v>
      </c>
      <c r="H466" s="27"/>
      <c r="I466" s="28"/>
      <c r="J466" s="125">
        <v>45433</v>
      </c>
      <c r="K466" s="99"/>
      <c r="L466" s="50" t="s">
        <v>238</v>
      </c>
      <c r="M466" s="36"/>
      <c r="N466" s="40"/>
      <c r="O466" s="39"/>
      <c r="P466" s="39"/>
      <c r="Q466" s="39"/>
      <c r="R466" s="39"/>
      <c r="S466" s="39"/>
      <c r="W466" s="1"/>
      <c r="Y466" s="10"/>
      <c r="AB466" s="39"/>
    </row>
    <row r="467" spans="1:28">
      <c r="A467" s="35">
        <v>3155</v>
      </c>
      <c r="B467" s="38" t="s">
        <v>272</v>
      </c>
      <c r="C467" s="4" t="s">
        <v>29</v>
      </c>
      <c r="D467" s="39"/>
      <c r="E467" s="4" t="s">
        <v>29</v>
      </c>
      <c r="F467" s="39"/>
      <c r="G467" s="124" t="s">
        <v>53</v>
      </c>
      <c r="H467" s="27"/>
      <c r="I467" s="28"/>
      <c r="J467" s="125">
        <v>45434</v>
      </c>
      <c r="K467" s="99"/>
      <c r="L467" s="50" t="s">
        <v>26</v>
      </c>
      <c r="M467" s="36">
        <v>4197</v>
      </c>
      <c r="N467" s="10" t="s">
        <v>272</v>
      </c>
      <c r="P467" s="39"/>
      <c r="Q467" s="39"/>
      <c r="R467" s="39"/>
      <c r="S467" s="28" t="s">
        <v>25</v>
      </c>
      <c r="T467" s="1" t="s">
        <v>31</v>
      </c>
      <c r="W467" s="106">
        <v>45531</v>
      </c>
      <c r="X467" s="11">
        <v>3599</v>
      </c>
      <c r="Y467" s="10" t="s">
        <v>272</v>
      </c>
      <c r="Z467" s="4" t="s">
        <v>29</v>
      </c>
      <c r="AB467" s="39" t="s">
        <v>273</v>
      </c>
    </row>
    <row r="468" spans="1:28">
      <c r="A468" s="35">
        <v>3171</v>
      </c>
      <c r="B468" s="38" t="s">
        <v>272</v>
      </c>
      <c r="C468" s="3" t="s">
        <v>24</v>
      </c>
      <c r="D468" s="39"/>
      <c r="E468" s="3" t="s">
        <v>24</v>
      </c>
      <c r="F468" s="39"/>
      <c r="G468" s="124" t="s">
        <v>53</v>
      </c>
      <c r="H468" s="27"/>
      <c r="I468" s="28"/>
      <c r="J468" s="125">
        <v>45435</v>
      </c>
      <c r="K468" s="99"/>
      <c r="L468" s="50" t="s">
        <v>26</v>
      </c>
      <c r="M468" s="36">
        <v>3878</v>
      </c>
      <c r="N468" s="10" t="s">
        <v>272</v>
      </c>
      <c r="O468" s="4" t="s">
        <v>29</v>
      </c>
      <c r="P468" s="39"/>
      <c r="Q468" s="39"/>
      <c r="R468" s="39"/>
      <c r="S468" s="28" t="s">
        <v>25</v>
      </c>
      <c r="T468" s="1" t="s">
        <v>27</v>
      </c>
      <c r="W468" s="106">
        <v>45530</v>
      </c>
      <c r="X468" s="11" t="s">
        <v>274</v>
      </c>
      <c r="Y468" s="10" t="s">
        <v>272</v>
      </c>
      <c r="Z468" s="4" t="s">
        <v>29</v>
      </c>
      <c r="AB468" s="39" t="s">
        <v>273</v>
      </c>
    </row>
    <row r="469" spans="1:28">
      <c r="A469" s="35">
        <v>3190</v>
      </c>
      <c r="B469" s="38" t="s">
        <v>272</v>
      </c>
      <c r="C469" s="3" t="s">
        <v>24</v>
      </c>
      <c r="D469" s="39"/>
      <c r="E469" s="3" t="s">
        <v>24</v>
      </c>
      <c r="F469" s="39"/>
      <c r="G469" s="124" t="s">
        <v>53</v>
      </c>
      <c r="H469" s="27"/>
      <c r="I469" s="28"/>
      <c r="J469" s="125">
        <v>45436</v>
      </c>
      <c r="K469" s="99"/>
      <c r="L469" s="50" t="s">
        <v>26</v>
      </c>
      <c r="M469" s="36">
        <v>3833</v>
      </c>
      <c r="N469" s="10" t="s">
        <v>272</v>
      </c>
      <c r="O469" s="6" t="s">
        <v>46</v>
      </c>
      <c r="P469" s="39"/>
      <c r="Q469" s="39"/>
      <c r="R469" s="39"/>
      <c r="S469" s="28" t="s">
        <v>25</v>
      </c>
      <c r="T469" s="1" t="s">
        <v>27</v>
      </c>
      <c r="W469" s="106">
        <v>45505</v>
      </c>
      <c r="X469" s="11" t="s">
        <v>275</v>
      </c>
      <c r="Y469" s="10" t="s">
        <v>272</v>
      </c>
      <c r="AB469" s="39" t="s">
        <v>273</v>
      </c>
    </row>
    <row r="470" spans="1:28">
      <c r="A470" s="35">
        <v>3196</v>
      </c>
      <c r="B470" s="38" t="s">
        <v>272</v>
      </c>
      <c r="C470" s="4" t="s">
        <v>29</v>
      </c>
      <c r="D470" s="39"/>
      <c r="E470" s="4" t="s">
        <v>29</v>
      </c>
      <c r="F470" s="39"/>
      <c r="G470" s="124" t="s">
        <v>53</v>
      </c>
      <c r="H470" s="27"/>
      <c r="I470" s="28"/>
      <c r="J470" s="125">
        <v>45437</v>
      </c>
      <c r="K470" s="99"/>
      <c r="L470" s="50" t="s">
        <v>26</v>
      </c>
      <c r="M470" s="36">
        <v>3867</v>
      </c>
      <c r="N470" s="10" t="s">
        <v>272</v>
      </c>
      <c r="O470" s="4" t="s">
        <v>29</v>
      </c>
      <c r="P470" s="39"/>
      <c r="Q470" s="39"/>
      <c r="R470" s="39"/>
      <c r="S470" s="28" t="s">
        <v>25</v>
      </c>
      <c r="T470" s="1" t="s">
        <v>27</v>
      </c>
      <c r="W470" s="106">
        <v>45524</v>
      </c>
      <c r="X470" s="11" t="s">
        <v>276</v>
      </c>
      <c r="Y470" s="10" t="s">
        <v>272</v>
      </c>
      <c r="Z470" s="4" t="s">
        <v>29</v>
      </c>
      <c r="AB470" s="39" t="s">
        <v>273</v>
      </c>
    </row>
    <row r="471" spans="1:28">
      <c r="A471" s="35">
        <v>3198</v>
      </c>
      <c r="B471" s="38" t="s">
        <v>272</v>
      </c>
      <c r="C471" s="3" t="s">
        <v>24</v>
      </c>
      <c r="D471" s="39"/>
      <c r="E471" s="3" t="s">
        <v>24</v>
      </c>
      <c r="F471" s="39"/>
      <c r="G471" s="124" t="s">
        <v>53</v>
      </c>
      <c r="H471" s="27"/>
      <c r="I471" s="28"/>
      <c r="J471" s="125">
        <v>45438</v>
      </c>
      <c r="K471" s="99"/>
      <c r="L471" s="50" t="s">
        <v>26</v>
      </c>
      <c r="M471" s="36">
        <v>3861</v>
      </c>
      <c r="N471" s="10" t="s">
        <v>272</v>
      </c>
      <c r="O471" s="3" t="s">
        <v>24</v>
      </c>
      <c r="P471" s="39"/>
      <c r="Q471" s="39"/>
      <c r="R471" s="39"/>
      <c r="S471" s="28" t="s">
        <v>25</v>
      </c>
      <c r="T471" s="1" t="s">
        <v>27</v>
      </c>
      <c r="W471" s="106">
        <v>45519</v>
      </c>
      <c r="X471" s="11">
        <v>3198</v>
      </c>
      <c r="Y471" s="10" t="s">
        <v>272</v>
      </c>
      <c r="Z471" s="3" t="s">
        <v>24</v>
      </c>
      <c r="AB471" s="39" t="s">
        <v>273</v>
      </c>
    </row>
    <row r="472" spans="1:28">
      <c r="A472" s="35">
        <v>3221</v>
      </c>
      <c r="B472" s="38" t="s">
        <v>272</v>
      </c>
      <c r="C472" s="4" t="s">
        <v>29</v>
      </c>
      <c r="D472" s="39"/>
      <c r="E472" s="39"/>
      <c r="F472" s="39"/>
      <c r="G472" s="124" t="s">
        <v>53</v>
      </c>
      <c r="H472" s="27"/>
      <c r="I472" s="28"/>
      <c r="J472" s="125">
        <v>45439</v>
      </c>
      <c r="K472" s="99"/>
      <c r="L472" s="50" t="s">
        <v>238</v>
      </c>
      <c r="M472" s="36"/>
      <c r="N472" s="40"/>
      <c r="O472" s="39"/>
      <c r="P472" s="39"/>
      <c r="Q472" s="39"/>
      <c r="R472" s="39"/>
      <c r="S472" s="39"/>
      <c r="W472" s="1"/>
      <c r="Y472" s="10"/>
      <c r="AB472" s="39"/>
    </row>
    <row r="473" spans="1:28" s="19" customFormat="1">
      <c r="A473" s="35">
        <v>3225</v>
      </c>
      <c r="B473" s="38" t="s">
        <v>272</v>
      </c>
      <c r="C473" s="3" t="s">
        <v>24</v>
      </c>
      <c r="D473" s="39"/>
      <c r="E473" s="39"/>
      <c r="F473" s="39"/>
      <c r="G473" s="124" t="s">
        <v>53</v>
      </c>
      <c r="H473" s="27"/>
      <c r="I473" s="28"/>
      <c r="J473" s="125">
        <v>45440</v>
      </c>
      <c r="K473" s="99"/>
      <c r="L473" s="50"/>
      <c r="M473" s="36"/>
      <c r="N473" s="40"/>
      <c r="O473" s="39"/>
      <c r="P473" s="39"/>
      <c r="Q473" s="39"/>
      <c r="R473" s="39"/>
      <c r="S473" s="39"/>
      <c r="T473" s="1"/>
      <c r="U473" s="1"/>
      <c r="V473" s="1"/>
      <c r="W473" s="1"/>
      <c r="X473" s="11"/>
      <c r="Y473" s="10"/>
      <c r="Z473" s="1"/>
      <c r="AA473" s="1"/>
      <c r="AB473" s="39" t="s">
        <v>273</v>
      </c>
    </row>
    <row r="474" spans="1:28">
      <c r="A474" s="35">
        <v>3238</v>
      </c>
      <c r="B474" s="38" t="s">
        <v>272</v>
      </c>
      <c r="C474" s="4" t="s">
        <v>29</v>
      </c>
      <c r="D474" s="39"/>
      <c r="E474" s="39"/>
      <c r="F474" s="39"/>
      <c r="G474" s="124" t="s">
        <v>53</v>
      </c>
      <c r="H474" s="27"/>
      <c r="I474" s="28"/>
      <c r="J474" s="125">
        <v>45441</v>
      </c>
      <c r="K474" s="99"/>
      <c r="L474" s="50" t="s">
        <v>238</v>
      </c>
      <c r="M474" s="36"/>
      <c r="N474" s="40"/>
      <c r="O474" s="39"/>
      <c r="P474" s="39"/>
      <c r="Q474" s="39"/>
      <c r="R474" s="39"/>
      <c r="S474" s="39"/>
      <c r="W474" s="1"/>
      <c r="Y474" s="10"/>
      <c r="AB474" s="39"/>
    </row>
    <row r="475" spans="1:28">
      <c r="A475" s="35">
        <v>3240</v>
      </c>
      <c r="B475" s="38" t="s">
        <v>272</v>
      </c>
      <c r="C475" s="4" t="s">
        <v>29</v>
      </c>
      <c r="D475" s="39"/>
      <c r="E475" s="39"/>
      <c r="F475" s="39"/>
      <c r="G475" s="124" t="s">
        <v>53</v>
      </c>
      <c r="H475" s="27"/>
      <c r="I475" s="28"/>
      <c r="J475" s="125">
        <v>45442</v>
      </c>
      <c r="K475" s="99"/>
      <c r="M475" s="36"/>
      <c r="N475" s="40"/>
      <c r="O475" s="39"/>
      <c r="P475" s="39"/>
      <c r="Q475" s="39"/>
      <c r="R475" s="39"/>
      <c r="S475" s="39"/>
      <c r="W475" s="1"/>
      <c r="Y475" s="10"/>
      <c r="AB475" s="39" t="s">
        <v>273</v>
      </c>
    </row>
    <row r="476" spans="1:28">
      <c r="A476" s="35">
        <v>3244</v>
      </c>
      <c r="B476" s="38" t="s">
        <v>272</v>
      </c>
      <c r="C476" s="4" t="s">
        <v>29</v>
      </c>
      <c r="D476" s="39"/>
      <c r="E476" s="39"/>
      <c r="F476" s="39"/>
      <c r="G476" s="124" t="s">
        <v>53</v>
      </c>
      <c r="H476" s="27"/>
      <c r="I476" s="28"/>
      <c r="J476" s="125">
        <v>45443</v>
      </c>
      <c r="K476" s="99"/>
      <c r="L476" s="50" t="s">
        <v>238</v>
      </c>
      <c r="M476" s="36"/>
      <c r="N476" s="40"/>
      <c r="O476" s="39"/>
      <c r="P476" s="39"/>
      <c r="Q476" s="39"/>
      <c r="R476" s="39"/>
      <c r="S476" s="39"/>
      <c r="W476" s="1"/>
      <c r="Y476" s="10"/>
      <c r="AB476" s="39"/>
    </row>
    <row r="477" spans="1:28">
      <c r="A477" s="35">
        <v>3260</v>
      </c>
      <c r="B477" s="38" t="s">
        <v>272</v>
      </c>
      <c r="C477" s="4" t="s">
        <v>29</v>
      </c>
      <c r="D477" s="39"/>
      <c r="E477" s="4" t="s">
        <v>29</v>
      </c>
      <c r="F477" s="39"/>
      <c r="G477" s="124" t="s">
        <v>53</v>
      </c>
      <c r="H477" s="27"/>
      <c r="I477" s="28"/>
      <c r="J477" s="125">
        <v>45444</v>
      </c>
      <c r="K477" s="99"/>
      <c r="M477" s="36"/>
      <c r="N477" s="40"/>
      <c r="O477" s="39"/>
      <c r="P477" s="39"/>
      <c r="Q477" s="39"/>
      <c r="R477" s="39"/>
      <c r="S477" s="39"/>
      <c r="W477" s="1"/>
      <c r="Y477" s="10"/>
      <c r="AB477" s="39" t="s">
        <v>273</v>
      </c>
    </row>
    <row r="478" spans="1:28">
      <c r="A478" s="35">
        <v>3282</v>
      </c>
      <c r="B478" s="38" t="s">
        <v>272</v>
      </c>
      <c r="C478" s="4" t="s">
        <v>29</v>
      </c>
      <c r="D478" s="39"/>
      <c r="E478" s="3" t="s">
        <v>24</v>
      </c>
      <c r="F478" s="39"/>
      <c r="G478" s="124" t="s">
        <v>53</v>
      </c>
      <c r="H478" s="27"/>
      <c r="I478" s="28"/>
      <c r="J478" s="125">
        <v>45445</v>
      </c>
      <c r="K478" s="99"/>
      <c r="L478" s="50" t="s">
        <v>26</v>
      </c>
      <c r="M478" s="36">
        <v>3835</v>
      </c>
      <c r="N478" s="10" t="s">
        <v>272</v>
      </c>
      <c r="O478" s="4" t="s">
        <v>29</v>
      </c>
      <c r="P478" s="39"/>
      <c r="R478" s="39"/>
      <c r="S478" s="28" t="s">
        <v>25</v>
      </c>
      <c r="T478" s="1" t="s">
        <v>27</v>
      </c>
      <c r="W478" s="106">
        <v>45507</v>
      </c>
      <c r="X478" s="11" t="s">
        <v>275</v>
      </c>
      <c r="Y478" s="10" t="s">
        <v>272</v>
      </c>
      <c r="AB478" s="39" t="s">
        <v>273</v>
      </c>
    </row>
    <row r="479" spans="1:28">
      <c r="A479" s="35">
        <v>3335</v>
      </c>
      <c r="B479" s="38" t="s">
        <v>272</v>
      </c>
      <c r="C479" s="4" t="s">
        <v>29</v>
      </c>
      <c r="D479" s="39"/>
      <c r="E479" s="39"/>
      <c r="F479" s="39"/>
      <c r="G479" s="124" t="s">
        <v>53</v>
      </c>
      <c r="H479" s="27"/>
      <c r="I479" s="28"/>
      <c r="J479" s="125">
        <v>45446</v>
      </c>
      <c r="K479" s="99"/>
      <c r="L479" s="50" t="s">
        <v>238</v>
      </c>
      <c r="M479" s="36"/>
      <c r="N479" s="40"/>
      <c r="O479" s="39"/>
      <c r="P479" s="39"/>
      <c r="Q479" s="39"/>
      <c r="R479" s="39"/>
      <c r="S479" s="39"/>
      <c r="W479" s="1"/>
      <c r="Y479" s="10"/>
      <c r="AB479" s="39"/>
    </row>
    <row r="480" spans="1:28">
      <c r="A480" s="35">
        <v>3383</v>
      </c>
      <c r="B480" s="38" t="s">
        <v>272</v>
      </c>
      <c r="C480" s="3" t="s">
        <v>24</v>
      </c>
      <c r="D480" s="39"/>
      <c r="E480" s="3" t="s">
        <v>24</v>
      </c>
      <c r="F480" s="39"/>
      <c r="G480" s="124" t="s">
        <v>53</v>
      </c>
      <c r="H480" s="27"/>
      <c r="I480" s="28"/>
      <c r="J480" s="125">
        <v>45447</v>
      </c>
      <c r="K480" s="99"/>
      <c r="L480" s="50" t="s">
        <v>26</v>
      </c>
      <c r="M480" s="36">
        <v>4138</v>
      </c>
      <c r="N480" s="10" t="s">
        <v>272</v>
      </c>
      <c r="O480" s="3" t="s">
        <v>24</v>
      </c>
      <c r="P480" s="39"/>
      <c r="Q480" s="39"/>
      <c r="R480" s="39"/>
      <c r="S480" s="28" t="s">
        <v>25</v>
      </c>
      <c r="T480" s="1" t="s">
        <v>31</v>
      </c>
      <c r="W480" s="106">
        <v>45509</v>
      </c>
      <c r="X480" s="11" t="s">
        <v>275</v>
      </c>
      <c r="Y480" s="10" t="s">
        <v>272</v>
      </c>
      <c r="AB480" s="39" t="s">
        <v>273</v>
      </c>
    </row>
    <row r="481" spans="1:28">
      <c r="A481" s="35">
        <v>3404</v>
      </c>
      <c r="B481" s="38" t="s">
        <v>272</v>
      </c>
      <c r="C481" s="3" t="s">
        <v>24</v>
      </c>
      <c r="D481" s="39"/>
      <c r="E481" s="3" t="s">
        <v>24</v>
      </c>
      <c r="F481" s="39"/>
      <c r="G481" s="124" t="s">
        <v>53</v>
      </c>
      <c r="H481" s="27"/>
      <c r="I481" s="28"/>
      <c r="J481" s="125">
        <v>45448</v>
      </c>
      <c r="K481" s="99"/>
      <c r="L481" s="50" t="s">
        <v>26</v>
      </c>
      <c r="M481" s="36">
        <v>3863</v>
      </c>
      <c r="N481" s="10" t="s">
        <v>272</v>
      </c>
      <c r="O481" s="4" t="s">
        <v>29</v>
      </c>
      <c r="P481" s="39"/>
      <c r="Q481" s="39"/>
      <c r="R481" s="39"/>
      <c r="S481" s="28" t="s">
        <v>25</v>
      </c>
      <c r="T481" s="1" t="s">
        <v>27</v>
      </c>
      <c r="W481" s="106">
        <v>45524</v>
      </c>
      <c r="X481" s="11" t="s">
        <v>276</v>
      </c>
      <c r="Y481" s="10" t="s">
        <v>272</v>
      </c>
      <c r="Z481" s="4" t="s">
        <v>29</v>
      </c>
      <c r="AB481" s="39" t="s">
        <v>273</v>
      </c>
    </row>
    <row r="482" spans="1:28">
      <c r="A482" s="35">
        <v>3418</v>
      </c>
      <c r="B482" s="38" t="s">
        <v>272</v>
      </c>
      <c r="C482" s="3" t="s">
        <v>24</v>
      </c>
      <c r="D482" s="39"/>
      <c r="E482" s="3" t="s">
        <v>24</v>
      </c>
      <c r="F482" s="39"/>
      <c r="G482" s="124" t="s">
        <v>53</v>
      </c>
      <c r="H482" s="27"/>
      <c r="I482" s="28"/>
      <c r="J482" s="125">
        <v>45449</v>
      </c>
      <c r="K482" s="99"/>
      <c r="L482" s="50" t="s">
        <v>26</v>
      </c>
      <c r="M482" s="11">
        <v>3856</v>
      </c>
      <c r="N482" s="10" t="s">
        <v>272</v>
      </c>
      <c r="O482" s="3" t="s">
        <v>24</v>
      </c>
      <c r="S482" s="28" t="s">
        <v>25</v>
      </c>
      <c r="T482" s="1" t="s">
        <v>27</v>
      </c>
      <c r="W482" s="106">
        <v>45519</v>
      </c>
      <c r="X482" s="11" t="s">
        <v>277</v>
      </c>
      <c r="Y482" s="10" t="s">
        <v>272</v>
      </c>
      <c r="Z482" s="4" t="s">
        <v>29</v>
      </c>
      <c r="AB482" s="39" t="s">
        <v>273</v>
      </c>
    </row>
    <row r="483" spans="1:28">
      <c r="A483" s="35">
        <v>3433</v>
      </c>
      <c r="B483" s="38" t="s">
        <v>272</v>
      </c>
      <c r="C483" s="4" t="s">
        <v>29</v>
      </c>
      <c r="D483" s="39"/>
      <c r="E483" s="39"/>
      <c r="F483" s="39"/>
      <c r="G483" s="124" t="s">
        <v>53</v>
      </c>
      <c r="H483" s="27"/>
      <c r="I483" s="28"/>
      <c r="J483" s="125">
        <v>45450</v>
      </c>
      <c r="K483" s="99"/>
      <c r="L483" s="50" t="s">
        <v>238</v>
      </c>
      <c r="N483" s="10"/>
      <c r="W483" s="1"/>
      <c r="Y483" s="10"/>
      <c r="AB483" s="39"/>
    </row>
    <row r="484" spans="1:28">
      <c r="A484" s="35">
        <v>3436</v>
      </c>
      <c r="B484" s="38" t="s">
        <v>272</v>
      </c>
      <c r="C484" s="4" t="s">
        <v>29</v>
      </c>
      <c r="D484" s="39"/>
      <c r="E484" s="39"/>
      <c r="F484" s="39"/>
      <c r="G484" s="124" t="s">
        <v>53</v>
      </c>
      <c r="H484" s="27"/>
      <c r="I484" s="28"/>
      <c r="J484" s="125">
        <v>45451</v>
      </c>
      <c r="K484" s="99"/>
      <c r="L484" s="50" t="s">
        <v>238</v>
      </c>
      <c r="N484" s="10"/>
      <c r="W484" s="1"/>
      <c r="Y484" s="10"/>
      <c r="AB484" s="39"/>
    </row>
    <row r="485" spans="1:28">
      <c r="A485" s="35">
        <v>3437</v>
      </c>
      <c r="B485" s="38" t="s">
        <v>272</v>
      </c>
      <c r="C485" s="3" t="s">
        <v>24</v>
      </c>
      <c r="D485" s="39"/>
      <c r="E485" s="3" t="s">
        <v>24</v>
      </c>
      <c r="F485" s="39"/>
      <c r="G485" s="124" t="s">
        <v>53</v>
      </c>
      <c r="H485" s="27"/>
      <c r="I485" s="28"/>
      <c r="J485" s="125">
        <v>45452</v>
      </c>
      <c r="K485" s="99"/>
      <c r="L485" s="50" t="s">
        <v>26</v>
      </c>
      <c r="M485" s="11">
        <v>3869</v>
      </c>
      <c r="N485" s="10" t="s">
        <v>272</v>
      </c>
      <c r="O485" s="4" t="s">
        <v>29</v>
      </c>
      <c r="S485" s="28" t="s">
        <v>25</v>
      </c>
      <c r="T485" s="1" t="s">
        <v>27</v>
      </c>
      <c r="W485" s="106">
        <v>45524</v>
      </c>
      <c r="X485" s="11" t="s">
        <v>276</v>
      </c>
      <c r="Y485" s="10" t="s">
        <v>272</v>
      </c>
      <c r="Z485" s="4" t="s">
        <v>29</v>
      </c>
      <c r="AB485" s="39" t="s">
        <v>273</v>
      </c>
    </row>
    <row r="486" spans="1:28">
      <c r="A486" s="35">
        <v>3446</v>
      </c>
      <c r="B486" s="38" t="s">
        <v>272</v>
      </c>
      <c r="C486" s="3" t="s">
        <v>24</v>
      </c>
      <c r="D486" s="39"/>
      <c r="E486" s="39"/>
      <c r="F486" s="39"/>
      <c r="G486" s="124" t="s">
        <v>53</v>
      </c>
      <c r="H486" s="27"/>
      <c r="I486" s="28"/>
      <c r="J486" s="125">
        <v>45453</v>
      </c>
      <c r="K486" s="99"/>
      <c r="L486" s="50" t="s">
        <v>238</v>
      </c>
      <c r="N486" s="10"/>
      <c r="W486" s="1"/>
      <c r="Y486" s="10"/>
      <c r="AB486" s="39"/>
    </row>
    <row r="487" spans="1:28">
      <c r="A487" s="35">
        <v>3459</v>
      </c>
      <c r="B487" s="38" t="s">
        <v>272</v>
      </c>
      <c r="C487" s="4" t="s">
        <v>29</v>
      </c>
      <c r="D487" s="39"/>
      <c r="E487" s="39"/>
      <c r="F487" s="39"/>
      <c r="G487" s="124" t="s">
        <v>53</v>
      </c>
      <c r="H487" s="27"/>
      <c r="I487" s="28"/>
      <c r="J487" s="125">
        <v>45454</v>
      </c>
      <c r="K487" s="99"/>
      <c r="L487" s="50" t="s">
        <v>238</v>
      </c>
      <c r="N487" s="10"/>
      <c r="W487" s="1"/>
      <c r="Y487" s="10"/>
      <c r="AB487" s="39"/>
    </row>
    <row r="488" spans="1:28">
      <c r="A488" s="35">
        <v>3462</v>
      </c>
      <c r="B488" s="38" t="s">
        <v>272</v>
      </c>
      <c r="C488" s="4" t="s">
        <v>29</v>
      </c>
      <c r="D488" s="39"/>
      <c r="E488" s="39"/>
      <c r="F488" s="39"/>
      <c r="G488" s="124" t="s">
        <v>53</v>
      </c>
      <c r="H488" s="27"/>
      <c r="I488" s="28"/>
      <c r="J488" s="125">
        <v>45455</v>
      </c>
      <c r="K488" s="99"/>
      <c r="L488" s="50" t="s">
        <v>238</v>
      </c>
      <c r="N488" s="10"/>
      <c r="W488" s="1"/>
      <c r="Y488" s="10"/>
      <c r="AB488" s="39"/>
    </row>
    <row r="489" spans="1:28">
      <c r="A489" s="35">
        <v>3469</v>
      </c>
      <c r="B489" s="38" t="s">
        <v>272</v>
      </c>
      <c r="C489" s="4" t="s">
        <v>29</v>
      </c>
      <c r="D489" s="39"/>
      <c r="E489" s="39"/>
      <c r="F489" s="39"/>
      <c r="G489" s="124" t="s">
        <v>53</v>
      </c>
      <c r="H489" s="27"/>
      <c r="I489" s="28"/>
      <c r="J489" s="125">
        <v>45456</v>
      </c>
      <c r="K489" s="99"/>
      <c r="N489" s="10"/>
      <c r="W489" s="1"/>
      <c r="Y489" s="10"/>
      <c r="AB489" s="39" t="s">
        <v>273</v>
      </c>
    </row>
    <row r="490" spans="1:28">
      <c r="A490" s="35">
        <v>3470</v>
      </c>
      <c r="B490" s="38" t="s">
        <v>272</v>
      </c>
      <c r="C490" s="4" t="s">
        <v>29</v>
      </c>
      <c r="D490" s="39"/>
      <c r="E490" s="39"/>
      <c r="F490" s="39"/>
      <c r="G490" s="124" t="s">
        <v>53</v>
      </c>
      <c r="H490" s="27"/>
      <c r="I490" s="28"/>
      <c r="J490" s="125">
        <v>45457</v>
      </c>
      <c r="K490" s="99"/>
      <c r="L490" s="50" t="s">
        <v>238</v>
      </c>
      <c r="N490" s="10"/>
      <c r="W490" s="1"/>
      <c r="Y490" s="10"/>
      <c r="AB490" s="39"/>
    </row>
    <row r="491" spans="1:28">
      <c r="A491" s="35">
        <v>3483</v>
      </c>
      <c r="B491" s="38" t="s">
        <v>272</v>
      </c>
      <c r="C491" s="4" t="s">
        <v>29</v>
      </c>
      <c r="D491" s="39"/>
      <c r="E491" s="39"/>
      <c r="F491" s="39"/>
      <c r="G491" s="124" t="s">
        <v>53</v>
      </c>
      <c r="H491" s="27"/>
      <c r="I491" s="28"/>
      <c r="J491" s="125">
        <v>45458</v>
      </c>
      <c r="K491" s="99"/>
      <c r="L491" s="50" t="s">
        <v>238</v>
      </c>
      <c r="N491" s="10"/>
      <c r="W491" s="1"/>
      <c r="Y491" s="10"/>
      <c r="AB491" s="39"/>
    </row>
    <row r="492" spans="1:28">
      <c r="A492" s="35">
        <v>3504</v>
      </c>
      <c r="B492" s="38" t="s">
        <v>272</v>
      </c>
      <c r="C492" s="4" t="s">
        <v>29</v>
      </c>
      <c r="D492" s="39"/>
      <c r="E492" s="4" t="s">
        <v>29</v>
      </c>
      <c r="F492" s="39"/>
      <c r="G492" s="124" t="s">
        <v>53</v>
      </c>
      <c r="H492" s="27"/>
      <c r="I492" s="28"/>
      <c r="J492" s="125">
        <v>45459</v>
      </c>
      <c r="K492" s="99"/>
      <c r="L492" s="50" t="s">
        <v>238</v>
      </c>
      <c r="N492" s="10"/>
      <c r="W492" s="1"/>
      <c r="Y492" s="10"/>
      <c r="AB492" s="39"/>
    </row>
    <row r="493" spans="1:28">
      <c r="A493" s="35">
        <v>3522</v>
      </c>
      <c r="B493" s="38" t="s">
        <v>272</v>
      </c>
      <c r="C493" s="3" t="s">
        <v>24</v>
      </c>
      <c r="D493" s="39"/>
      <c r="E493" s="39"/>
      <c r="F493" s="39"/>
      <c r="G493" s="124" t="s">
        <v>53</v>
      </c>
      <c r="H493" s="27"/>
      <c r="I493" s="28"/>
      <c r="J493" s="125">
        <v>45461</v>
      </c>
      <c r="K493" s="99"/>
      <c r="L493" s="50" t="s">
        <v>26</v>
      </c>
      <c r="M493" s="11">
        <v>3893</v>
      </c>
      <c r="N493" s="10" t="s">
        <v>272</v>
      </c>
      <c r="S493" s="28" t="s">
        <v>25</v>
      </c>
      <c r="T493" s="1" t="s">
        <v>27</v>
      </c>
      <c r="W493" s="106">
        <v>45542</v>
      </c>
      <c r="X493" s="11">
        <v>3522</v>
      </c>
      <c r="Y493" s="10" t="s">
        <v>272</v>
      </c>
      <c r="Z493" s="4" t="s">
        <v>29</v>
      </c>
      <c r="AB493" s="39" t="s">
        <v>273</v>
      </c>
    </row>
    <row r="494" spans="1:28">
      <c r="A494" s="35">
        <v>3527</v>
      </c>
      <c r="B494" s="38" t="s">
        <v>272</v>
      </c>
      <c r="C494" s="4" t="s">
        <v>29</v>
      </c>
      <c r="D494" s="39"/>
      <c r="E494" s="39"/>
      <c r="F494" s="39"/>
      <c r="G494" s="124" t="s">
        <v>53</v>
      </c>
      <c r="H494" s="27"/>
      <c r="I494" s="28"/>
      <c r="J494" s="125">
        <v>45462</v>
      </c>
      <c r="K494" s="99"/>
      <c r="L494" s="50" t="s">
        <v>238</v>
      </c>
      <c r="N494" s="10"/>
      <c r="W494" s="1"/>
      <c r="Y494" s="10"/>
      <c r="AB494" s="39"/>
    </row>
    <row r="495" spans="1:28">
      <c r="A495" s="35">
        <v>3533</v>
      </c>
      <c r="B495" s="38" t="s">
        <v>272</v>
      </c>
      <c r="C495" s="4" t="s">
        <v>29</v>
      </c>
      <c r="D495" s="39"/>
      <c r="E495" s="6" t="s">
        <v>46</v>
      </c>
      <c r="F495" s="39"/>
      <c r="G495" s="124" t="s">
        <v>53</v>
      </c>
      <c r="H495" s="27"/>
      <c r="I495" s="28"/>
      <c r="J495" s="125">
        <v>45463</v>
      </c>
      <c r="K495" s="99"/>
      <c r="L495" s="50" t="s">
        <v>26</v>
      </c>
      <c r="M495" s="11">
        <v>3871</v>
      </c>
      <c r="N495" s="10" t="s">
        <v>272</v>
      </c>
      <c r="O495" s="3" t="s">
        <v>24</v>
      </c>
      <c r="S495" s="28" t="s">
        <v>25</v>
      </c>
      <c r="T495" s="1" t="s">
        <v>27</v>
      </c>
      <c r="W495" s="106">
        <v>45526</v>
      </c>
      <c r="X495" s="11" t="s">
        <v>278</v>
      </c>
      <c r="Y495" s="10" t="s">
        <v>272</v>
      </c>
      <c r="Z495" s="6" t="s">
        <v>46</v>
      </c>
      <c r="AB495" s="39" t="s">
        <v>273</v>
      </c>
    </row>
    <row r="496" spans="1:28">
      <c r="A496" s="35">
        <v>3544</v>
      </c>
      <c r="B496" s="38" t="s">
        <v>272</v>
      </c>
      <c r="C496" s="3" t="s">
        <v>24</v>
      </c>
      <c r="D496" s="39"/>
      <c r="E496" s="4" t="s">
        <v>29</v>
      </c>
      <c r="F496" s="39"/>
      <c r="G496" s="124" t="s">
        <v>53</v>
      </c>
      <c r="H496" s="27"/>
      <c r="I496" s="28"/>
      <c r="J496" s="125">
        <v>45464</v>
      </c>
      <c r="K496" s="99"/>
      <c r="L496" s="50" t="s">
        <v>26</v>
      </c>
      <c r="M496" s="11">
        <v>3834</v>
      </c>
      <c r="N496" s="10" t="s">
        <v>272</v>
      </c>
      <c r="O496" s="4" t="s">
        <v>29</v>
      </c>
      <c r="Q496" s="4" t="s">
        <v>29</v>
      </c>
      <c r="S496" s="28" t="s">
        <v>25</v>
      </c>
      <c r="T496" s="1" t="s">
        <v>27</v>
      </c>
      <c r="W496" s="106">
        <v>45871</v>
      </c>
      <c r="X496" s="11">
        <v>3544</v>
      </c>
      <c r="Y496" s="10" t="s">
        <v>272</v>
      </c>
      <c r="Z496" s="3" t="s">
        <v>24</v>
      </c>
      <c r="AB496" s="39" t="s">
        <v>273</v>
      </c>
    </row>
    <row r="497" spans="1:28">
      <c r="A497" s="35">
        <v>3551</v>
      </c>
      <c r="B497" s="38" t="s">
        <v>272</v>
      </c>
      <c r="C497" s="4" t="s">
        <v>29</v>
      </c>
      <c r="D497" s="39"/>
      <c r="E497" s="39"/>
      <c r="F497" s="39"/>
      <c r="G497" s="124" t="s">
        <v>53</v>
      </c>
      <c r="H497" s="27"/>
      <c r="I497" s="28"/>
      <c r="J497" s="125">
        <v>45465</v>
      </c>
      <c r="K497" s="99"/>
      <c r="L497" s="50" t="s">
        <v>238</v>
      </c>
      <c r="N497" s="10"/>
      <c r="W497" s="1"/>
      <c r="Y497" s="10"/>
      <c r="AB497" s="39"/>
    </row>
    <row r="498" spans="1:28">
      <c r="A498" s="35">
        <v>3563</v>
      </c>
      <c r="B498" s="38" t="s">
        <v>272</v>
      </c>
      <c r="C498" s="4" t="s">
        <v>29</v>
      </c>
      <c r="D498" s="39"/>
      <c r="E498" s="4" t="s">
        <v>29</v>
      </c>
      <c r="F498" s="39"/>
      <c r="G498" s="124" t="s">
        <v>53</v>
      </c>
      <c r="H498" s="27"/>
      <c r="I498" s="28"/>
      <c r="J498" s="125">
        <v>45466</v>
      </c>
      <c r="K498" s="99"/>
      <c r="L498" s="50" t="s">
        <v>238</v>
      </c>
      <c r="N498" s="10"/>
      <c r="W498" s="1"/>
      <c r="Y498" s="10"/>
      <c r="AB498" s="39"/>
    </row>
    <row r="499" spans="1:28">
      <c r="A499" s="35">
        <v>3569</v>
      </c>
      <c r="B499" s="38" t="s">
        <v>272</v>
      </c>
      <c r="C499" s="3" t="s">
        <v>24</v>
      </c>
      <c r="D499" s="39"/>
      <c r="E499" s="39"/>
      <c r="F499" s="39"/>
      <c r="G499" s="124" t="s">
        <v>53</v>
      </c>
      <c r="H499" s="27"/>
      <c r="I499" s="28"/>
      <c r="J499" s="125">
        <v>45467</v>
      </c>
      <c r="K499" s="99"/>
      <c r="L499" s="50" t="s">
        <v>238</v>
      </c>
      <c r="N499" s="10"/>
      <c r="W499" s="1"/>
      <c r="Y499" s="10"/>
      <c r="AB499" s="39"/>
    </row>
    <row r="500" spans="1:28">
      <c r="A500" s="35">
        <v>3601</v>
      </c>
      <c r="B500" s="38" t="s">
        <v>272</v>
      </c>
      <c r="C500" s="3" t="s">
        <v>24</v>
      </c>
      <c r="D500" s="39"/>
      <c r="E500" s="3" t="s">
        <v>24</v>
      </c>
      <c r="F500" s="39"/>
      <c r="G500" s="124" t="s">
        <v>53</v>
      </c>
      <c r="H500" s="27"/>
      <c r="I500" s="28"/>
      <c r="J500" s="125">
        <v>45468</v>
      </c>
      <c r="K500" s="99"/>
      <c r="L500" s="50" t="s">
        <v>26</v>
      </c>
      <c r="M500" s="11">
        <v>3847</v>
      </c>
      <c r="N500" s="10" t="s">
        <v>272</v>
      </c>
      <c r="O500" s="3" t="s">
        <v>24</v>
      </c>
      <c r="S500" s="28" t="s">
        <v>25</v>
      </c>
      <c r="T500" s="1" t="s">
        <v>27</v>
      </c>
      <c r="W500" s="106">
        <v>45512</v>
      </c>
      <c r="X500" s="11" t="s">
        <v>279</v>
      </c>
      <c r="Y500" s="10" t="s">
        <v>272</v>
      </c>
      <c r="Z500" s="6" t="s">
        <v>46</v>
      </c>
      <c r="AB500" s="39" t="s">
        <v>273</v>
      </c>
    </row>
    <row r="501" spans="1:28">
      <c r="A501" s="35">
        <v>3602</v>
      </c>
      <c r="B501" s="38" t="s">
        <v>272</v>
      </c>
      <c r="C501" s="4" t="s">
        <v>29</v>
      </c>
      <c r="D501" s="39"/>
      <c r="E501" s="39"/>
      <c r="F501" s="39"/>
      <c r="G501" s="124" t="s">
        <v>53</v>
      </c>
      <c r="H501" s="27"/>
      <c r="I501" s="28"/>
      <c r="J501" s="125">
        <v>45469</v>
      </c>
      <c r="K501" s="99"/>
      <c r="L501" s="50" t="s">
        <v>238</v>
      </c>
      <c r="N501" s="10"/>
      <c r="W501" s="1"/>
      <c r="Y501" s="10"/>
      <c r="AB501" s="39"/>
    </row>
    <row r="502" spans="1:28">
      <c r="A502" s="35">
        <v>3625</v>
      </c>
      <c r="B502" s="38" t="s">
        <v>272</v>
      </c>
      <c r="C502" s="4" t="s">
        <v>29</v>
      </c>
      <c r="D502" s="39"/>
      <c r="E502" s="39"/>
      <c r="F502" s="39"/>
      <c r="G502" s="124" t="s">
        <v>53</v>
      </c>
      <c r="H502" s="27"/>
      <c r="I502" s="28"/>
      <c r="J502" s="125">
        <v>45470</v>
      </c>
      <c r="K502" s="99"/>
      <c r="L502" s="50" t="s">
        <v>238</v>
      </c>
      <c r="N502" s="10"/>
      <c r="W502" s="1"/>
      <c r="Y502" s="10"/>
      <c r="AB502" s="39"/>
    </row>
    <row r="503" spans="1:28">
      <c r="A503" s="35">
        <v>3629</v>
      </c>
      <c r="B503" s="38" t="s">
        <v>272</v>
      </c>
      <c r="C503" s="3" t="s">
        <v>24</v>
      </c>
      <c r="D503" s="39"/>
      <c r="E503" s="39"/>
      <c r="F503" s="39"/>
      <c r="G503" s="124" t="s">
        <v>53</v>
      </c>
      <c r="H503" s="27"/>
      <c r="I503" s="28"/>
      <c r="J503" s="126">
        <v>45471</v>
      </c>
      <c r="K503" s="99"/>
      <c r="L503" s="50" t="s">
        <v>26</v>
      </c>
      <c r="M503" s="11">
        <v>4288</v>
      </c>
      <c r="N503" s="10" t="s">
        <v>272</v>
      </c>
      <c r="S503" s="28" t="s">
        <v>25</v>
      </c>
      <c r="T503" s="1" t="s">
        <v>31</v>
      </c>
      <c r="W503" s="106">
        <v>45530</v>
      </c>
      <c r="X503" s="11" t="s">
        <v>275</v>
      </c>
      <c r="Y503" s="10" t="s">
        <v>272</v>
      </c>
      <c r="AB503" s="39" t="s">
        <v>273</v>
      </c>
    </row>
    <row r="504" spans="1:28">
      <c r="A504" s="35">
        <v>824</v>
      </c>
      <c r="B504" s="38" t="s">
        <v>272</v>
      </c>
      <c r="C504" s="4" t="s">
        <v>29</v>
      </c>
      <c r="D504" s="39"/>
      <c r="E504" s="39"/>
      <c r="F504" s="39"/>
      <c r="G504" s="124" t="s">
        <v>53</v>
      </c>
      <c r="H504" s="27"/>
      <c r="I504" s="27"/>
      <c r="J504" s="105"/>
      <c r="K504" s="99"/>
      <c r="N504" s="10"/>
      <c r="W504" s="1"/>
      <c r="Y504" s="10"/>
      <c r="AB504" s="39" t="s">
        <v>280</v>
      </c>
    </row>
    <row r="505" spans="1:28">
      <c r="A505" s="35">
        <v>905</v>
      </c>
      <c r="B505" s="38" t="s">
        <v>272</v>
      </c>
      <c r="C505" s="4" t="s">
        <v>29</v>
      </c>
      <c r="D505" s="39"/>
      <c r="E505" s="39"/>
      <c r="F505" s="39"/>
      <c r="G505" s="124" t="s">
        <v>53</v>
      </c>
      <c r="H505" s="27"/>
      <c r="I505" s="27"/>
      <c r="J505" s="99"/>
      <c r="K505" s="99"/>
      <c r="N505" s="10"/>
      <c r="W505" s="1"/>
      <c r="Y505" s="10"/>
      <c r="AB505" s="39" t="s">
        <v>280</v>
      </c>
    </row>
    <row r="506" spans="1:28">
      <c r="A506" s="35">
        <v>907</v>
      </c>
      <c r="B506" s="38" t="s">
        <v>272</v>
      </c>
      <c r="C506" s="6" t="s">
        <v>46</v>
      </c>
      <c r="D506" s="39"/>
      <c r="E506" s="39"/>
      <c r="F506" s="39"/>
      <c r="G506" s="124" t="s">
        <v>53</v>
      </c>
      <c r="H506" s="27"/>
      <c r="I506" s="27"/>
      <c r="J506" s="99"/>
      <c r="K506" s="99"/>
      <c r="N506" s="10"/>
      <c r="W506" s="1"/>
      <c r="Y506" s="10"/>
      <c r="AB506" s="39" t="s">
        <v>280</v>
      </c>
    </row>
    <row r="507" spans="1:28">
      <c r="A507" s="35">
        <v>912</v>
      </c>
      <c r="B507" s="38" t="s">
        <v>272</v>
      </c>
      <c r="C507" s="4" t="s">
        <v>29</v>
      </c>
      <c r="D507" s="39"/>
      <c r="E507" s="39"/>
      <c r="F507" s="39"/>
      <c r="G507" s="124" t="s">
        <v>53</v>
      </c>
      <c r="H507" s="27"/>
      <c r="I507" s="27"/>
      <c r="J507" s="99"/>
      <c r="K507" s="99"/>
      <c r="L507" s="50" t="s">
        <v>26</v>
      </c>
      <c r="M507" s="11">
        <v>3835</v>
      </c>
      <c r="N507" s="10" t="s">
        <v>272</v>
      </c>
      <c r="O507" s="4" t="s">
        <v>29</v>
      </c>
      <c r="S507" s="28" t="s">
        <v>25</v>
      </c>
      <c r="T507" s="1" t="s">
        <v>31</v>
      </c>
      <c r="W507" s="106">
        <v>45521</v>
      </c>
      <c r="X507" s="11" t="s">
        <v>281</v>
      </c>
      <c r="Y507" s="10" t="s">
        <v>272</v>
      </c>
      <c r="Z507" s="4" t="s">
        <v>29</v>
      </c>
      <c r="AB507" s="39" t="s">
        <v>273</v>
      </c>
    </row>
    <row r="508" spans="1:28">
      <c r="A508" s="35">
        <v>948</v>
      </c>
      <c r="B508" s="38" t="s">
        <v>272</v>
      </c>
      <c r="C508" s="4" t="s">
        <v>29</v>
      </c>
      <c r="D508" s="39"/>
      <c r="E508" s="39"/>
      <c r="F508" s="39"/>
      <c r="G508" s="124" t="s">
        <v>53</v>
      </c>
      <c r="H508" s="27"/>
      <c r="I508" s="27"/>
      <c r="J508" s="99"/>
      <c r="K508" s="99"/>
      <c r="N508" s="10"/>
      <c r="W508" s="1"/>
      <c r="Y508" s="10"/>
      <c r="AB508" s="39" t="s">
        <v>280</v>
      </c>
    </row>
    <row r="509" spans="1:28">
      <c r="A509" s="35">
        <v>966</v>
      </c>
      <c r="B509" s="38" t="s">
        <v>272</v>
      </c>
      <c r="C509" s="4" t="s">
        <v>29</v>
      </c>
      <c r="D509" s="39"/>
      <c r="E509" s="39"/>
      <c r="F509" s="39"/>
      <c r="G509" s="124" t="s">
        <v>53</v>
      </c>
      <c r="H509" s="27"/>
      <c r="I509" s="27"/>
      <c r="J509" s="99"/>
      <c r="K509" s="99"/>
      <c r="L509" s="50" t="s">
        <v>26</v>
      </c>
      <c r="M509" s="11">
        <v>3888</v>
      </c>
      <c r="N509" s="10" t="s">
        <v>272</v>
      </c>
      <c r="O509" s="4" t="s">
        <v>29</v>
      </c>
      <c r="Q509" s="4" t="s">
        <v>29</v>
      </c>
      <c r="S509" s="28" t="s">
        <v>25</v>
      </c>
      <c r="T509" s="1" t="s">
        <v>31</v>
      </c>
      <c r="W509" s="106">
        <v>45517</v>
      </c>
      <c r="X509" s="11" t="s">
        <v>282</v>
      </c>
      <c r="Y509" s="10" t="s">
        <v>272</v>
      </c>
      <c r="Z509" s="4" t="s">
        <v>29</v>
      </c>
      <c r="AB509" s="39" t="s">
        <v>273</v>
      </c>
    </row>
    <row r="510" spans="1:28">
      <c r="A510" s="35">
        <v>984</v>
      </c>
      <c r="B510" s="38" t="s">
        <v>272</v>
      </c>
      <c r="C510" s="4" t="s">
        <v>29</v>
      </c>
      <c r="D510" s="39"/>
      <c r="E510" s="39"/>
      <c r="F510" s="39"/>
      <c r="G510" s="124" t="s">
        <v>53</v>
      </c>
      <c r="H510" s="27"/>
      <c r="I510" s="27"/>
      <c r="J510" s="99"/>
      <c r="K510" s="99"/>
      <c r="L510" s="50" t="s">
        <v>26</v>
      </c>
      <c r="M510" s="11">
        <v>4158</v>
      </c>
      <c r="N510" s="10" t="s">
        <v>272</v>
      </c>
      <c r="O510" s="4" t="s">
        <v>29</v>
      </c>
      <c r="S510" s="28" t="s">
        <v>25</v>
      </c>
      <c r="W510" s="106">
        <v>45506</v>
      </c>
      <c r="X510" s="11">
        <v>3544</v>
      </c>
      <c r="Y510" s="10" t="s">
        <v>272</v>
      </c>
      <c r="Z510" s="3" t="s">
        <v>24</v>
      </c>
      <c r="AB510" s="39" t="s">
        <v>273</v>
      </c>
    </row>
    <row r="511" spans="1:28">
      <c r="A511" s="35">
        <v>1005</v>
      </c>
      <c r="B511" s="38" t="s">
        <v>272</v>
      </c>
      <c r="C511" s="4" t="s">
        <v>29</v>
      </c>
      <c r="D511" s="39"/>
      <c r="E511" s="39"/>
      <c r="F511" s="39"/>
      <c r="G511" s="124" t="s">
        <v>53</v>
      </c>
      <c r="H511" s="27"/>
      <c r="I511" s="27"/>
      <c r="J511" s="99"/>
      <c r="K511" s="99"/>
      <c r="N511" s="10"/>
      <c r="W511" s="1"/>
      <c r="Y511" s="10"/>
      <c r="AB511" s="39" t="s">
        <v>280</v>
      </c>
    </row>
    <row r="512" spans="1:28">
      <c r="A512" s="138">
        <v>1007</v>
      </c>
      <c r="B512" s="140" t="s">
        <v>272</v>
      </c>
      <c r="C512" s="142" t="s">
        <v>29</v>
      </c>
      <c r="D512" s="144"/>
      <c r="E512" s="144"/>
      <c r="F512" s="144"/>
      <c r="G512" s="146" t="s">
        <v>53</v>
      </c>
      <c r="H512" s="135"/>
      <c r="I512" s="135"/>
      <c r="J512" s="127"/>
      <c r="K512" s="127"/>
      <c r="L512" s="136" t="s">
        <v>26</v>
      </c>
      <c r="M512" s="11">
        <v>3862</v>
      </c>
      <c r="N512" s="10" t="s">
        <v>272</v>
      </c>
      <c r="O512" s="3" t="s">
        <v>24</v>
      </c>
      <c r="S512" s="28" t="s">
        <v>25</v>
      </c>
      <c r="T512" s="1" t="s">
        <v>27</v>
      </c>
      <c r="W512" s="106">
        <v>45524</v>
      </c>
      <c r="X512" s="11" t="s">
        <v>276</v>
      </c>
      <c r="Y512" s="10" t="s">
        <v>272</v>
      </c>
      <c r="Z512" s="4" t="s">
        <v>29</v>
      </c>
      <c r="AB512" s="39"/>
    </row>
    <row r="513" spans="1:28">
      <c r="A513" s="139"/>
      <c r="B513" s="141"/>
      <c r="C513" s="143"/>
      <c r="D513" s="145"/>
      <c r="E513" s="145"/>
      <c r="F513" s="145"/>
      <c r="G513" s="147"/>
      <c r="H513" s="135"/>
      <c r="I513" s="135"/>
      <c r="J513" s="128"/>
      <c r="K513" s="128"/>
      <c r="L513" s="137"/>
      <c r="M513" s="11">
        <v>3865</v>
      </c>
      <c r="N513" s="10" t="s">
        <v>272</v>
      </c>
      <c r="O513" s="3" t="s">
        <v>24</v>
      </c>
      <c r="S513" s="28" t="s">
        <v>25</v>
      </c>
      <c r="T513" s="1" t="s">
        <v>27</v>
      </c>
      <c r="W513" s="106">
        <v>45524</v>
      </c>
      <c r="X513" s="11" t="s">
        <v>276</v>
      </c>
      <c r="Y513" s="10" t="s">
        <v>272</v>
      </c>
      <c r="Z513" s="4" t="s">
        <v>29</v>
      </c>
      <c r="AB513" s="39" t="s">
        <v>273</v>
      </c>
    </row>
    <row r="514" spans="1:28">
      <c r="A514" s="35">
        <v>1008</v>
      </c>
      <c r="B514" s="38" t="s">
        <v>272</v>
      </c>
      <c r="C514" s="3" t="s">
        <v>24</v>
      </c>
      <c r="D514" s="39"/>
      <c r="E514" s="39"/>
      <c r="F514" s="39"/>
      <c r="G514" s="124" t="s">
        <v>53</v>
      </c>
      <c r="H514" s="27"/>
      <c r="I514" s="27"/>
      <c r="J514" s="99"/>
      <c r="K514" s="99"/>
      <c r="L514" s="50" t="s">
        <v>26</v>
      </c>
      <c r="M514" s="11">
        <v>4111</v>
      </c>
      <c r="N514" s="10" t="s">
        <v>272</v>
      </c>
      <c r="O514" s="3" t="s">
        <v>24</v>
      </c>
      <c r="S514" s="28" t="s">
        <v>25</v>
      </c>
      <c r="T514" s="1" t="s">
        <v>31</v>
      </c>
      <c r="W514" s="106">
        <v>45511</v>
      </c>
      <c r="X514" s="11" t="s">
        <v>275</v>
      </c>
      <c r="Y514" s="10" t="s">
        <v>272</v>
      </c>
      <c r="AB514" s="39" t="s">
        <v>273</v>
      </c>
    </row>
    <row r="515" spans="1:28">
      <c r="A515" s="35">
        <v>1011</v>
      </c>
      <c r="B515" s="38" t="s">
        <v>272</v>
      </c>
      <c r="C515" s="4" t="s">
        <v>29</v>
      </c>
      <c r="D515" s="39"/>
      <c r="E515" s="39"/>
      <c r="F515" s="39"/>
      <c r="G515" s="124" t="s">
        <v>53</v>
      </c>
      <c r="H515" s="27"/>
      <c r="I515" s="27"/>
      <c r="J515" s="99"/>
      <c r="K515" s="99"/>
      <c r="L515" s="50" t="s">
        <v>34</v>
      </c>
      <c r="N515" s="10"/>
      <c r="W515" s="1"/>
      <c r="Y515" s="10"/>
      <c r="AB515" s="39" t="s">
        <v>273</v>
      </c>
    </row>
    <row r="516" spans="1:28">
      <c r="A516" s="35">
        <v>1017</v>
      </c>
      <c r="B516" s="38" t="s">
        <v>272</v>
      </c>
      <c r="C516" s="3" t="s">
        <v>24</v>
      </c>
      <c r="D516" s="39"/>
      <c r="E516" s="39"/>
      <c r="F516" s="39"/>
      <c r="G516" s="124" t="s">
        <v>53</v>
      </c>
      <c r="H516" s="27"/>
      <c r="I516" s="27"/>
      <c r="J516" s="99"/>
      <c r="K516" s="99"/>
      <c r="N516" s="10"/>
      <c r="W516" s="1"/>
      <c r="Y516" s="10"/>
      <c r="AB516" s="39" t="s">
        <v>280</v>
      </c>
    </row>
    <row r="517" spans="1:28">
      <c r="A517" s="35">
        <v>1018</v>
      </c>
      <c r="B517" s="38" t="s">
        <v>272</v>
      </c>
      <c r="C517" s="3" t="s">
        <v>24</v>
      </c>
      <c r="D517" s="39"/>
      <c r="E517" s="39"/>
      <c r="F517" s="39"/>
      <c r="G517" s="124" t="s">
        <v>53</v>
      </c>
      <c r="H517" s="27"/>
      <c r="I517" s="27"/>
      <c r="J517" s="99"/>
      <c r="K517" s="99"/>
      <c r="L517" s="50" t="s">
        <v>26</v>
      </c>
      <c r="M517" s="11">
        <v>3885</v>
      </c>
      <c r="N517" s="10" t="s">
        <v>272</v>
      </c>
      <c r="O517" s="3" t="s">
        <v>24</v>
      </c>
      <c r="S517" s="28" t="s">
        <v>25</v>
      </c>
      <c r="T517" s="1" t="s">
        <v>27</v>
      </c>
      <c r="W517" s="106">
        <v>45532</v>
      </c>
      <c r="X517" s="11" t="s">
        <v>283</v>
      </c>
      <c r="Y517" s="10" t="s">
        <v>272</v>
      </c>
      <c r="Z517" s="4" t="s">
        <v>29</v>
      </c>
      <c r="AB517" s="39" t="s">
        <v>273</v>
      </c>
    </row>
    <row r="518" spans="1:28">
      <c r="A518" s="35">
        <v>1024</v>
      </c>
      <c r="B518" s="38" t="s">
        <v>272</v>
      </c>
      <c r="C518" s="3" t="s">
        <v>24</v>
      </c>
      <c r="D518" s="39"/>
      <c r="E518" s="39"/>
      <c r="F518" s="39"/>
      <c r="G518" s="124" t="s">
        <v>53</v>
      </c>
      <c r="H518" s="27"/>
      <c r="I518" s="27"/>
      <c r="J518" s="99"/>
      <c r="K518" s="99"/>
      <c r="N518" s="10"/>
      <c r="W518" s="1"/>
      <c r="Y518" s="10"/>
      <c r="AB518" s="39" t="s">
        <v>280</v>
      </c>
    </row>
    <row r="519" spans="1:28">
      <c r="A519" s="35">
        <v>1025</v>
      </c>
      <c r="B519" s="38" t="s">
        <v>272</v>
      </c>
      <c r="C519" s="3" t="s">
        <v>24</v>
      </c>
      <c r="D519" s="39"/>
      <c r="E519" s="39"/>
      <c r="F519" s="39"/>
      <c r="G519" s="124" t="s">
        <v>53</v>
      </c>
      <c r="H519" s="27"/>
      <c r="I519" s="27"/>
      <c r="J519" s="99"/>
      <c r="K519" s="99"/>
      <c r="N519" s="10"/>
      <c r="W519" s="1"/>
      <c r="Y519" s="10"/>
      <c r="AB519" s="39" t="s">
        <v>280</v>
      </c>
    </row>
    <row r="520" spans="1:28">
      <c r="A520" s="35">
        <v>3136</v>
      </c>
      <c r="B520" s="38" t="s">
        <v>272</v>
      </c>
      <c r="C520" s="3" t="s">
        <v>24</v>
      </c>
      <c r="D520" s="39"/>
      <c r="E520" s="39"/>
      <c r="F520" s="39"/>
      <c r="G520" s="124" t="s">
        <v>53</v>
      </c>
      <c r="H520" s="27"/>
      <c r="I520" s="27"/>
      <c r="J520" s="99"/>
      <c r="K520" s="99"/>
      <c r="N520" s="10"/>
      <c r="W520" s="1"/>
      <c r="Y520" s="10"/>
      <c r="AB520" s="39" t="s">
        <v>280</v>
      </c>
    </row>
    <row r="521" spans="1:28">
      <c r="A521" s="35">
        <v>3137</v>
      </c>
      <c r="B521" s="38" t="s">
        <v>272</v>
      </c>
      <c r="C521" s="3" t="s">
        <v>24</v>
      </c>
      <c r="D521" s="39"/>
      <c r="E521" s="39"/>
      <c r="F521" s="39"/>
      <c r="G521" s="124" t="s">
        <v>53</v>
      </c>
      <c r="H521" s="27"/>
      <c r="I521" s="27"/>
      <c r="J521" s="99"/>
      <c r="K521" s="99"/>
      <c r="L521" s="50" t="s">
        <v>26</v>
      </c>
      <c r="M521" s="11">
        <v>4131</v>
      </c>
      <c r="N521" s="10" t="s">
        <v>272</v>
      </c>
      <c r="O521" s="3" t="s">
        <v>24</v>
      </c>
      <c r="S521" s="28" t="s">
        <v>25</v>
      </c>
      <c r="T521" s="1" t="s">
        <v>31</v>
      </c>
      <c r="W521" s="106">
        <v>45516</v>
      </c>
      <c r="X521" s="11" t="s">
        <v>275</v>
      </c>
      <c r="Y521" s="10" t="s">
        <v>272</v>
      </c>
      <c r="AB521" s="39" t="s">
        <v>273</v>
      </c>
    </row>
    <row r="522" spans="1:28">
      <c r="A522" s="35">
        <v>3162</v>
      </c>
      <c r="B522" s="38" t="s">
        <v>272</v>
      </c>
      <c r="C522" s="3" t="s">
        <v>24</v>
      </c>
      <c r="D522" s="39"/>
      <c r="E522" s="39"/>
      <c r="F522" s="39"/>
      <c r="G522" s="124" t="s">
        <v>53</v>
      </c>
      <c r="H522" s="27"/>
      <c r="I522" s="27"/>
      <c r="J522" s="99"/>
      <c r="K522" s="99"/>
      <c r="N522" s="10"/>
      <c r="W522" s="1"/>
      <c r="Y522" s="10"/>
      <c r="AB522" s="39" t="s">
        <v>280</v>
      </c>
    </row>
    <row r="523" spans="1:28">
      <c r="A523" s="35">
        <v>3178</v>
      </c>
      <c r="B523" s="38" t="s">
        <v>272</v>
      </c>
      <c r="C523" s="4" t="s">
        <v>29</v>
      </c>
      <c r="D523" s="39"/>
      <c r="E523" s="39"/>
      <c r="F523" s="39"/>
      <c r="G523" s="124" t="s">
        <v>53</v>
      </c>
      <c r="H523" s="27"/>
      <c r="I523" s="27"/>
      <c r="J523" s="99"/>
      <c r="K523" s="99"/>
      <c r="L523" s="50" t="s">
        <v>26</v>
      </c>
      <c r="M523" s="11">
        <v>3843</v>
      </c>
      <c r="N523" s="10" t="s">
        <v>272</v>
      </c>
      <c r="O523" s="3" t="s">
        <v>24</v>
      </c>
      <c r="S523" s="28" t="s">
        <v>25</v>
      </c>
      <c r="T523" s="1" t="s">
        <v>27</v>
      </c>
      <c r="W523" s="106">
        <v>45511</v>
      </c>
      <c r="X523" s="11" t="s">
        <v>284</v>
      </c>
      <c r="Y523" s="10" t="s">
        <v>272</v>
      </c>
      <c r="Z523" s="3" t="s">
        <v>24</v>
      </c>
      <c r="AB523" s="39" t="s">
        <v>273</v>
      </c>
    </row>
    <row r="524" spans="1:28">
      <c r="A524" s="35">
        <v>3181</v>
      </c>
      <c r="B524" s="38" t="s">
        <v>272</v>
      </c>
      <c r="C524" s="3" t="s">
        <v>24</v>
      </c>
      <c r="D524" s="39"/>
      <c r="E524" s="39"/>
      <c r="F524" s="39"/>
      <c r="G524" s="124" t="s">
        <v>53</v>
      </c>
      <c r="H524" s="27"/>
      <c r="I524" s="27"/>
      <c r="J524" s="99"/>
      <c r="K524" s="99"/>
      <c r="N524" s="10"/>
      <c r="W524" s="1"/>
      <c r="Y524" s="10"/>
      <c r="AB524" s="39" t="s">
        <v>280</v>
      </c>
    </row>
    <row r="525" spans="1:28">
      <c r="A525" s="35">
        <v>3187</v>
      </c>
      <c r="B525" s="38" t="s">
        <v>272</v>
      </c>
      <c r="C525" s="6" t="s">
        <v>46</v>
      </c>
      <c r="D525" s="39"/>
      <c r="E525" s="39"/>
      <c r="F525" s="39"/>
      <c r="G525" s="124" t="s">
        <v>53</v>
      </c>
      <c r="H525" s="27"/>
      <c r="I525" s="27"/>
      <c r="J525" s="99"/>
      <c r="K525" s="99"/>
      <c r="N525" s="10"/>
      <c r="W525" s="1"/>
      <c r="Y525" s="10"/>
      <c r="AB525" s="39" t="s">
        <v>280</v>
      </c>
    </row>
    <row r="526" spans="1:28">
      <c r="A526" s="35">
        <v>3193</v>
      </c>
      <c r="B526" s="38" t="s">
        <v>272</v>
      </c>
      <c r="C526" s="4" t="s">
        <v>29</v>
      </c>
      <c r="D526" s="39"/>
      <c r="E526" s="39"/>
      <c r="F526" s="39"/>
      <c r="G526" s="124" t="s">
        <v>53</v>
      </c>
      <c r="H526" s="27"/>
      <c r="I526" s="27"/>
      <c r="J526" s="99"/>
      <c r="K526" s="99"/>
      <c r="N526" s="10"/>
      <c r="W526" s="1"/>
      <c r="Y526" s="10"/>
      <c r="AB526" s="39" t="s">
        <v>280</v>
      </c>
    </row>
    <row r="527" spans="1:28">
      <c r="A527" s="35">
        <v>3201</v>
      </c>
      <c r="B527" s="38" t="s">
        <v>272</v>
      </c>
      <c r="C527" s="3" t="s">
        <v>24</v>
      </c>
      <c r="D527" s="39"/>
      <c r="E527" s="39"/>
      <c r="F527" s="39"/>
      <c r="G527" s="124" t="s">
        <v>53</v>
      </c>
      <c r="H527" s="27"/>
      <c r="I527" s="27"/>
      <c r="J527" s="99"/>
      <c r="K527" s="99"/>
      <c r="N527" s="10"/>
      <c r="W527" s="1"/>
      <c r="Y527" s="10"/>
      <c r="AB527" s="39" t="s">
        <v>273</v>
      </c>
    </row>
    <row r="528" spans="1:28">
      <c r="A528" s="35">
        <v>3209</v>
      </c>
      <c r="B528" s="38" t="s">
        <v>272</v>
      </c>
      <c r="C528" s="4" t="s">
        <v>29</v>
      </c>
      <c r="D528" s="39"/>
      <c r="E528" s="39"/>
      <c r="F528" s="39"/>
      <c r="G528" s="124" t="s">
        <v>53</v>
      </c>
      <c r="H528" s="27"/>
      <c r="I528" s="27"/>
      <c r="J528" s="99"/>
      <c r="K528" s="99"/>
      <c r="L528" s="50" t="s">
        <v>26</v>
      </c>
      <c r="M528" s="11">
        <v>4184</v>
      </c>
      <c r="N528" s="10" t="s">
        <v>272</v>
      </c>
      <c r="O528" s="6" t="s">
        <v>46</v>
      </c>
      <c r="S528" s="28" t="s">
        <v>25</v>
      </c>
      <c r="T528" s="1" t="s">
        <v>31</v>
      </c>
      <c r="W528" s="106">
        <v>45514</v>
      </c>
      <c r="X528" s="11" t="s">
        <v>285</v>
      </c>
      <c r="Y528" s="10" t="s">
        <v>272</v>
      </c>
      <c r="Z528" s="4" t="s">
        <v>29</v>
      </c>
      <c r="AB528" s="39" t="s">
        <v>273</v>
      </c>
    </row>
    <row r="529" spans="1:28">
      <c r="A529" s="35">
        <v>3214</v>
      </c>
      <c r="B529" s="38" t="s">
        <v>272</v>
      </c>
      <c r="C529" s="4" t="s">
        <v>29</v>
      </c>
      <c r="D529" s="39"/>
      <c r="E529" s="39"/>
      <c r="F529" s="39"/>
      <c r="G529" s="124" t="s">
        <v>53</v>
      </c>
      <c r="H529" s="27"/>
      <c r="I529" s="27"/>
      <c r="J529" s="99"/>
      <c r="K529" s="99"/>
      <c r="N529" s="10"/>
      <c r="W529" s="1"/>
      <c r="Y529" s="10"/>
      <c r="AB529" s="39" t="s">
        <v>273</v>
      </c>
    </row>
    <row r="530" spans="1:28">
      <c r="A530" s="35">
        <v>3216</v>
      </c>
      <c r="B530" s="38" t="s">
        <v>272</v>
      </c>
      <c r="C530" s="3" t="s">
        <v>24</v>
      </c>
      <c r="D530" s="39"/>
      <c r="E530" s="39"/>
      <c r="F530" s="39"/>
      <c r="G530" s="124" t="s">
        <v>53</v>
      </c>
      <c r="H530" s="27"/>
      <c r="I530" s="27"/>
      <c r="J530" s="99"/>
      <c r="K530" s="99"/>
      <c r="N530" s="10"/>
      <c r="W530" s="1"/>
      <c r="Y530" s="10"/>
      <c r="AB530" s="39" t="s">
        <v>280</v>
      </c>
    </row>
    <row r="531" spans="1:28">
      <c r="A531" s="35">
        <v>3218</v>
      </c>
      <c r="B531" s="38" t="s">
        <v>272</v>
      </c>
      <c r="C531" s="4" t="s">
        <v>29</v>
      </c>
      <c r="D531" s="39"/>
      <c r="E531" s="39"/>
      <c r="F531" s="39"/>
      <c r="G531" s="124" t="s">
        <v>53</v>
      </c>
      <c r="H531" s="27"/>
      <c r="I531" s="27"/>
      <c r="J531" s="99"/>
      <c r="K531" s="99"/>
      <c r="L531" s="50" t="s">
        <v>26</v>
      </c>
      <c r="M531" s="11">
        <v>4208</v>
      </c>
      <c r="N531" s="10" t="s">
        <v>272</v>
      </c>
      <c r="O531" s="3" t="s">
        <v>24</v>
      </c>
      <c r="S531" s="28" t="s">
        <v>25</v>
      </c>
      <c r="T531" s="1" t="s">
        <v>31</v>
      </c>
      <c r="W531" s="106">
        <v>45515</v>
      </c>
      <c r="X531" s="11" t="s">
        <v>275</v>
      </c>
      <c r="Y531" s="10" t="s">
        <v>272</v>
      </c>
      <c r="AB531" s="39" t="s">
        <v>273</v>
      </c>
    </row>
    <row r="532" spans="1:28">
      <c r="A532" s="35">
        <v>3219</v>
      </c>
      <c r="B532" s="38" t="s">
        <v>272</v>
      </c>
      <c r="C532" s="6" t="s">
        <v>46</v>
      </c>
      <c r="D532" s="39"/>
      <c r="E532" s="39"/>
      <c r="F532" s="39"/>
      <c r="G532" s="124" t="s">
        <v>53</v>
      </c>
      <c r="H532" s="27"/>
      <c r="I532" s="27"/>
      <c r="J532" s="99"/>
      <c r="K532" s="99"/>
      <c r="N532" s="10"/>
      <c r="W532" s="1"/>
      <c r="Y532" s="10"/>
      <c r="AB532" s="39" t="s">
        <v>280</v>
      </c>
    </row>
    <row r="533" spans="1:28">
      <c r="A533" s="35">
        <v>3229</v>
      </c>
      <c r="B533" s="38" t="s">
        <v>272</v>
      </c>
      <c r="C533" s="3" t="s">
        <v>24</v>
      </c>
      <c r="D533" s="39"/>
      <c r="E533" s="39"/>
      <c r="F533" s="39"/>
      <c r="G533" s="124" t="s">
        <v>53</v>
      </c>
      <c r="H533" s="27"/>
      <c r="I533" s="27"/>
      <c r="J533" s="99"/>
      <c r="K533" s="99"/>
      <c r="N533" s="10"/>
      <c r="W533" s="1"/>
      <c r="Y533" s="10"/>
      <c r="AB533" s="39" t="s">
        <v>273</v>
      </c>
    </row>
    <row r="534" spans="1:28">
      <c r="A534" s="35">
        <v>3234</v>
      </c>
      <c r="B534" s="38" t="s">
        <v>272</v>
      </c>
      <c r="C534" s="3" t="s">
        <v>24</v>
      </c>
      <c r="D534" s="39"/>
      <c r="E534" s="39"/>
      <c r="F534" s="39"/>
      <c r="G534" s="124" t="s">
        <v>53</v>
      </c>
      <c r="H534" s="27"/>
      <c r="I534" s="27"/>
      <c r="J534" s="99"/>
      <c r="K534" s="99"/>
      <c r="N534" s="10"/>
      <c r="W534" s="1"/>
      <c r="Y534" s="10"/>
      <c r="AB534" s="39" t="s">
        <v>280</v>
      </c>
    </row>
    <row r="535" spans="1:28">
      <c r="A535" s="35">
        <v>3246</v>
      </c>
      <c r="B535" s="38" t="s">
        <v>272</v>
      </c>
      <c r="C535" s="4" t="s">
        <v>29</v>
      </c>
      <c r="D535" s="39"/>
      <c r="E535" s="39"/>
      <c r="F535" s="39"/>
      <c r="G535" s="124" t="s">
        <v>53</v>
      </c>
      <c r="H535" s="27"/>
      <c r="I535" s="27"/>
      <c r="J535" s="99"/>
      <c r="K535" s="99"/>
      <c r="N535" s="10"/>
      <c r="W535" s="1"/>
      <c r="Y535" s="10"/>
      <c r="AB535" s="39" t="s">
        <v>280</v>
      </c>
    </row>
    <row r="536" spans="1:28">
      <c r="A536" s="35">
        <v>3251</v>
      </c>
      <c r="B536" s="38" t="s">
        <v>272</v>
      </c>
      <c r="C536" s="3" t="s">
        <v>24</v>
      </c>
      <c r="D536" s="39"/>
      <c r="E536" s="39"/>
      <c r="F536" s="39"/>
      <c r="G536" s="124" t="s">
        <v>53</v>
      </c>
      <c r="H536" s="27"/>
      <c r="I536" s="27"/>
      <c r="J536" s="99"/>
      <c r="K536" s="99"/>
      <c r="N536" s="10"/>
      <c r="W536" s="1"/>
      <c r="Y536" s="10"/>
      <c r="AB536" s="39" t="s">
        <v>273</v>
      </c>
    </row>
    <row r="537" spans="1:28">
      <c r="A537" s="35">
        <v>3258</v>
      </c>
      <c r="B537" s="38" t="s">
        <v>272</v>
      </c>
      <c r="C537" s="4" t="s">
        <v>29</v>
      </c>
      <c r="D537" s="39"/>
      <c r="E537" s="39"/>
      <c r="F537" s="39"/>
      <c r="G537" s="124" t="s">
        <v>53</v>
      </c>
      <c r="H537" s="27"/>
      <c r="I537" s="27"/>
      <c r="J537" s="99"/>
      <c r="K537" s="99"/>
      <c r="L537" s="50" t="s">
        <v>26</v>
      </c>
      <c r="M537" s="11">
        <v>4196</v>
      </c>
      <c r="N537" s="10" t="s">
        <v>272</v>
      </c>
      <c r="O537" s="4" t="s">
        <v>29</v>
      </c>
      <c r="S537" s="28" t="s">
        <v>25</v>
      </c>
      <c r="T537" s="1" t="s">
        <v>31</v>
      </c>
      <c r="W537" s="106">
        <v>45510</v>
      </c>
      <c r="X537" s="11" t="s">
        <v>275</v>
      </c>
      <c r="Y537" s="10" t="s">
        <v>272</v>
      </c>
      <c r="AB537" s="39" t="s">
        <v>273</v>
      </c>
    </row>
    <row r="538" spans="1:28">
      <c r="A538" s="35">
        <v>3263</v>
      </c>
      <c r="B538" s="38" t="s">
        <v>272</v>
      </c>
      <c r="C538" s="3" t="s">
        <v>24</v>
      </c>
      <c r="D538" s="39"/>
      <c r="E538" s="39"/>
      <c r="F538" s="39"/>
      <c r="G538" s="124" t="s">
        <v>53</v>
      </c>
      <c r="H538" s="27"/>
      <c r="I538" s="27"/>
      <c r="J538" s="99"/>
      <c r="K538" s="99"/>
      <c r="N538" s="10"/>
      <c r="W538" s="1"/>
      <c r="Y538" s="10"/>
      <c r="AB538" s="39" t="s">
        <v>273</v>
      </c>
    </row>
    <row r="539" spans="1:28">
      <c r="A539" s="35">
        <v>3269</v>
      </c>
      <c r="B539" s="38" t="s">
        <v>272</v>
      </c>
      <c r="C539" s="4" t="s">
        <v>29</v>
      </c>
      <c r="D539" s="39"/>
      <c r="E539" s="39"/>
      <c r="F539" s="39"/>
      <c r="G539" s="124" t="s">
        <v>53</v>
      </c>
      <c r="H539" s="27"/>
      <c r="I539" s="27"/>
      <c r="J539" s="99"/>
      <c r="K539" s="99"/>
      <c r="L539" s="50" t="s">
        <v>26</v>
      </c>
      <c r="M539" s="11">
        <v>4148</v>
      </c>
      <c r="N539" s="10" t="s">
        <v>272</v>
      </c>
      <c r="O539" s="4" t="s">
        <v>29</v>
      </c>
      <c r="S539" s="28" t="s">
        <v>25</v>
      </c>
      <c r="T539" s="1" t="s">
        <v>31</v>
      </c>
      <c r="W539" s="106">
        <v>45512</v>
      </c>
      <c r="X539" s="11" t="s">
        <v>286</v>
      </c>
      <c r="Y539" s="10" t="s">
        <v>272</v>
      </c>
      <c r="Z539" s="4" t="s">
        <v>29</v>
      </c>
      <c r="AB539" s="39" t="s">
        <v>280</v>
      </c>
    </row>
    <row r="540" spans="1:28">
      <c r="A540" s="35">
        <v>3283</v>
      </c>
      <c r="B540" s="38" t="s">
        <v>272</v>
      </c>
      <c r="C540" s="4" t="s">
        <v>29</v>
      </c>
      <c r="D540" s="39"/>
      <c r="E540" s="39"/>
      <c r="F540" s="39"/>
      <c r="G540" s="124" t="s">
        <v>53</v>
      </c>
      <c r="H540" s="27"/>
      <c r="I540" s="27"/>
      <c r="J540" s="99"/>
      <c r="K540" s="99"/>
      <c r="N540" s="10"/>
      <c r="W540" s="1"/>
      <c r="Y540" s="10"/>
      <c r="AB540" s="39" t="s">
        <v>280</v>
      </c>
    </row>
    <row r="541" spans="1:28">
      <c r="A541" s="35">
        <v>3285</v>
      </c>
      <c r="B541" s="38" t="s">
        <v>272</v>
      </c>
      <c r="C541" s="3" t="s">
        <v>24</v>
      </c>
      <c r="D541" s="39"/>
      <c r="E541" s="39"/>
      <c r="F541" s="39"/>
      <c r="G541" s="124" t="s">
        <v>53</v>
      </c>
      <c r="H541" s="27"/>
      <c r="I541" s="27"/>
      <c r="J541" s="99"/>
      <c r="K541" s="99"/>
      <c r="L541" s="50" t="s">
        <v>26</v>
      </c>
      <c r="M541" s="11">
        <v>4126</v>
      </c>
      <c r="N541" s="10" t="s">
        <v>272</v>
      </c>
      <c r="O541" s="3" t="s">
        <v>24</v>
      </c>
      <c r="S541" s="28" t="s">
        <v>25</v>
      </c>
      <c r="T541" s="1" t="s">
        <v>31</v>
      </c>
      <c r="W541" s="106">
        <v>45517</v>
      </c>
      <c r="X541" s="11" t="s">
        <v>282</v>
      </c>
      <c r="Y541" s="10" t="s">
        <v>272</v>
      </c>
      <c r="Z541" s="4" t="s">
        <v>29</v>
      </c>
      <c r="AB541" s="39" t="s">
        <v>273</v>
      </c>
    </row>
    <row r="542" spans="1:28">
      <c r="A542" s="35">
        <v>3293</v>
      </c>
      <c r="B542" s="38" t="s">
        <v>272</v>
      </c>
      <c r="C542" s="4" t="s">
        <v>29</v>
      </c>
      <c r="D542" s="39"/>
      <c r="E542" s="39"/>
      <c r="F542" s="39"/>
      <c r="G542" s="124" t="s">
        <v>53</v>
      </c>
      <c r="H542" s="27"/>
      <c r="I542" s="27"/>
      <c r="J542" s="99"/>
      <c r="K542" s="99"/>
      <c r="N542" s="10"/>
      <c r="W542" s="1"/>
      <c r="Y542" s="10"/>
      <c r="AB542" s="39" t="s">
        <v>280</v>
      </c>
    </row>
    <row r="543" spans="1:28">
      <c r="A543" s="35">
        <v>3306</v>
      </c>
      <c r="B543" s="38" t="s">
        <v>272</v>
      </c>
      <c r="C543" s="4" t="s">
        <v>29</v>
      </c>
      <c r="D543" s="39"/>
      <c r="E543" s="39"/>
      <c r="F543" s="39"/>
      <c r="G543" s="124" t="s">
        <v>53</v>
      </c>
      <c r="H543" s="27"/>
      <c r="I543" s="27"/>
      <c r="J543" s="99"/>
      <c r="K543" s="99"/>
      <c r="L543" s="50" t="s">
        <v>26</v>
      </c>
      <c r="M543" s="11">
        <v>4173</v>
      </c>
      <c r="N543" s="10" t="s">
        <v>272</v>
      </c>
      <c r="O543" s="3" t="s">
        <v>24</v>
      </c>
      <c r="S543" s="28" t="s">
        <v>25</v>
      </c>
      <c r="T543" s="1" t="s">
        <v>31</v>
      </c>
      <c r="W543" s="106">
        <v>45525</v>
      </c>
      <c r="X543" s="11" t="s">
        <v>287</v>
      </c>
      <c r="Y543" s="10" t="s">
        <v>272</v>
      </c>
      <c r="Z543" s="4" t="s">
        <v>29</v>
      </c>
      <c r="AB543" s="39" t="s">
        <v>273</v>
      </c>
    </row>
    <row r="544" spans="1:28">
      <c r="A544" s="35">
        <v>3307</v>
      </c>
      <c r="B544" s="38" t="s">
        <v>272</v>
      </c>
      <c r="C544" s="3" t="s">
        <v>24</v>
      </c>
      <c r="D544" s="39"/>
      <c r="E544" s="39"/>
      <c r="F544" s="39"/>
      <c r="G544" s="124" t="s">
        <v>53</v>
      </c>
      <c r="H544" s="27"/>
      <c r="I544" s="27"/>
      <c r="J544" s="99"/>
      <c r="K544" s="99"/>
      <c r="L544" s="50" t="s">
        <v>26</v>
      </c>
      <c r="M544" s="11">
        <v>3884</v>
      </c>
      <c r="N544" s="10" t="s">
        <v>272</v>
      </c>
      <c r="O544" s="4" t="s">
        <v>29</v>
      </c>
      <c r="S544" s="28" t="s">
        <v>25</v>
      </c>
      <c r="T544" s="1" t="s">
        <v>27</v>
      </c>
      <c r="W544" s="106">
        <v>45532</v>
      </c>
      <c r="X544" s="11" t="s">
        <v>283</v>
      </c>
      <c r="Y544" s="10" t="s">
        <v>272</v>
      </c>
      <c r="Z544" s="4" t="s">
        <v>29</v>
      </c>
      <c r="AB544" s="39" t="s">
        <v>273</v>
      </c>
    </row>
    <row r="545" spans="1:28">
      <c r="A545" s="35">
        <v>3329</v>
      </c>
      <c r="B545" s="38" t="s">
        <v>272</v>
      </c>
      <c r="C545" s="4" t="s">
        <v>29</v>
      </c>
      <c r="D545" s="39"/>
      <c r="E545" s="39"/>
      <c r="F545" s="39"/>
      <c r="G545" s="124" t="s">
        <v>53</v>
      </c>
      <c r="H545" s="27"/>
      <c r="I545" s="27"/>
      <c r="J545" s="99"/>
      <c r="K545" s="99"/>
      <c r="L545" s="50" t="s">
        <v>26</v>
      </c>
      <c r="M545" s="11">
        <v>3834</v>
      </c>
      <c r="N545" s="10" t="s">
        <v>272</v>
      </c>
      <c r="O545" s="4" t="s">
        <v>29</v>
      </c>
      <c r="Q545" s="4" t="s">
        <v>29</v>
      </c>
      <c r="S545" s="28" t="s">
        <v>25</v>
      </c>
      <c r="T545" s="1" t="s">
        <v>31</v>
      </c>
      <c r="W545" s="106">
        <v>45517</v>
      </c>
      <c r="X545" s="11" t="s">
        <v>282</v>
      </c>
      <c r="Y545" s="10" t="s">
        <v>272</v>
      </c>
      <c r="Z545" s="4" t="s">
        <v>29</v>
      </c>
      <c r="AB545" s="39" t="s">
        <v>273</v>
      </c>
    </row>
    <row r="546" spans="1:28">
      <c r="A546" s="35">
        <v>3330</v>
      </c>
      <c r="B546" s="38" t="s">
        <v>272</v>
      </c>
      <c r="C546" s="3" t="s">
        <v>24</v>
      </c>
      <c r="D546" s="39"/>
      <c r="E546" s="39"/>
      <c r="F546" s="39"/>
      <c r="G546" s="124" t="s">
        <v>53</v>
      </c>
      <c r="H546" s="27"/>
      <c r="I546" s="27"/>
      <c r="J546" s="99"/>
      <c r="K546" s="99"/>
      <c r="N546" s="10"/>
      <c r="W546" s="1"/>
      <c r="Y546" s="10"/>
      <c r="AB546" s="39" t="s">
        <v>280</v>
      </c>
    </row>
    <row r="547" spans="1:28">
      <c r="A547" s="35">
        <v>3333</v>
      </c>
      <c r="B547" s="38" t="s">
        <v>272</v>
      </c>
      <c r="C547" s="4" t="s">
        <v>29</v>
      </c>
      <c r="D547" s="39"/>
      <c r="E547" s="39"/>
      <c r="F547" s="39"/>
      <c r="G547" s="124" t="s">
        <v>53</v>
      </c>
      <c r="H547" s="27"/>
      <c r="I547" s="27"/>
      <c r="J547" s="99"/>
      <c r="K547" s="99"/>
      <c r="L547" s="50" t="s">
        <v>26</v>
      </c>
      <c r="M547" s="11">
        <v>4133</v>
      </c>
      <c r="N547" s="10" t="s">
        <v>272</v>
      </c>
      <c r="O547" s="4" t="s">
        <v>29</v>
      </c>
      <c r="S547" s="28" t="s">
        <v>25</v>
      </c>
      <c r="T547" s="1" t="s">
        <v>31</v>
      </c>
      <c r="W547" s="106">
        <v>45525</v>
      </c>
      <c r="X547" s="11" t="s">
        <v>287</v>
      </c>
      <c r="Y547" s="10" t="s">
        <v>272</v>
      </c>
      <c r="Z547" s="4" t="s">
        <v>29</v>
      </c>
      <c r="AB547" s="39" t="s">
        <v>273</v>
      </c>
    </row>
    <row r="548" spans="1:28">
      <c r="A548" s="35">
        <v>3347</v>
      </c>
      <c r="B548" s="38" t="s">
        <v>272</v>
      </c>
      <c r="C548" s="6" t="s">
        <v>46</v>
      </c>
      <c r="D548" s="39"/>
      <c r="E548" s="39"/>
      <c r="F548" s="39"/>
      <c r="G548" s="124" t="s">
        <v>53</v>
      </c>
      <c r="H548" s="27"/>
      <c r="I548" s="27"/>
      <c r="J548" s="99"/>
      <c r="K548" s="99"/>
      <c r="L548" s="50" t="s">
        <v>26</v>
      </c>
      <c r="M548" s="11">
        <v>3825</v>
      </c>
      <c r="N548" s="10" t="s">
        <v>272</v>
      </c>
      <c r="O548" s="4" t="s">
        <v>29</v>
      </c>
      <c r="S548" s="28" t="s">
        <v>25</v>
      </c>
      <c r="T548" s="1" t="s">
        <v>31</v>
      </c>
      <c r="W548" s="106">
        <v>45518</v>
      </c>
      <c r="X548" s="11" t="s">
        <v>288</v>
      </c>
      <c r="Y548" s="10" t="s">
        <v>272</v>
      </c>
      <c r="Z548" s="3" t="s">
        <v>24</v>
      </c>
      <c r="AB548" s="39" t="s">
        <v>273</v>
      </c>
    </row>
    <row r="549" spans="1:28">
      <c r="A549" s="35">
        <v>3355</v>
      </c>
      <c r="B549" s="38" t="s">
        <v>272</v>
      </c>
      <c r="C549" s="3" t="s">
        <v>24</v>
      </c>
      <c r="D549" s="39"/>
      <c r="E549" s="39"/>
      <c r="F549" s="39"/>
      <c r="G549" s="124" t="s">
        <v>53</v>
      </c>
      <c r="H549" s="27"/>
      <c r="I549" s="27"/>
      <c r="J549" s="99"/>
      <c r="K549" s="99"/>
      <c r="N549" s="10"/>
      <c r="W549" s="1"/>
      <c r="Y549" s="10"/>
      <c r="AB549" s="39" t="s">
        <v>280</v>
      </c>
    </row>
    <row r="550" spans="1:28">
      <c r="A550" s="35">
        <v>3359</v>
      </c>
      <c r="B550" s="38" t="s">
        <v>272</v>
      </c>
      <c r="C550" s="4" t="s">
        <v>29</v>
      </c>
      <c r="D550" s="39"/>
      <c r="E550" s="39"/>
      <c r="F550" s="39"/>
      <c r="G550" s="124" t="s">
        <v>53</v>
      </c>
      <c r="H550" s="27"/>
      <c r="I550" s="27"/>
      <c r="J550" s="99"/>
      <c r="K550" s="99"/>
      <c r="L550" s="50" t="s">
        <v>26</v>
      </c>
      <c r="M550" s="11">
        <v>3864</v>
      </c>
      <c r="N550" s="10" t="s">
        <v>272</v>
      </c>
      <c r="O550" s="4" t="s">
        <v>29</v>
      </c>
      <c r="S550" s="28" t="s">
        <v>25</v>
      </c>
      <c r="T550" s="1" t="s">
        <v>27</v>
      </c>
      <c r="W550" s="106">
        <v>45524</v>
      </c>
      <c r="X550" s="11" t="s">
        <v>276</v>
      </c>
      <c r="Y550" s="10" t="s">
        <v>272</v>
      </c>
      <c r="Z550" s="4" t="s">
        <v>29</v>
      </c>
      <c r="AB550" s="39" t="s">
        <v>273</v>
      </c>
    </row>
    <row r="551" spans="1:28">
      <c r="A551" s="35">
        <v>3374</v>
      </c>
      <c r="B551" s="38" t="s">
        <v>272</v>
      </c>
      <c r="C551" s="6" t="s">
        <v>46</v>
      </c>
      <c r="D551" s="39"/>
      <c r="E551" s="39"/>
      <c r="F551" s="39"/>
      <c r="G551" s="124" t="s">
        <v>53</v>
      </c>
      <c r="H551" s="27"/>
      <c r="I551" s="27"/>
      <c r="J551" s="99"/>
      <c r="K551" s="99"/>
      <c r="L551" s="50" t="s">
        <v>26</v>
      </c>
      <c r="M551" s="11">
        <v>3848</v>
      </c>
      <c r="N551" s="10" t="s">
        <v>272</v>
      </c>
      <c r="O551" s="3" t="s">
        <v>24</v>
      </c>
      <c r="S551" s="28" t="s">
        <v>25</v>
      </c>
      <c r="T551" s="1" t="s">
        <v>27</v>
      </c>
      <c r="W551" s="106">
        <v>45514</v>
      </c>
      <c r="X551" s="11" t="s">
        <v>36</v>
      </c>
      <c r="Y551" s="10" t="s">
        <v>272</v>
      </c>
      <c r="AB551" s="39" t="s">
        <v>273</v>
      </c>
    </row>
    <row r="552" spans="1:28">
      <c r="A552" s="35">
        <v>3375</v>
      </c>
      <c r="B552" s="38" t="s">
        <v>272</v>
      </c>
      <c r="C552" s="6" t="s">
        <v>46</v>
      </c>
      <c r="D552" s="39"/>
      <c r="E552" s="39"/>
      <c r="F552" s="39"/>
      <c r="G552" s="124" t="s">
        <v>53</v>
      </c>
      <c r="H552" s="27"/>
      <c r="I552" s="27"/>
      <c r="J552" s="99"/>
      <c r="K552" s="99"/>
      <c r="L552" s="50" t="s">
        <v>26</v>
      </c>
      <c r="M552" s="11">
        <v>3855</v>
      </c>
      <c r="N552" s="10" t="s">
        <v>272</v>
      </c>
      <c r="O552" s="4" t="s">
        <v>29</v>
      </c>
      <c r="S552" s="28" t="s">
        <v>25</v>
      </c>
      <c r="T552" s="1" t="s">
        <v>27</v>
      </c>
      <c r="W552" s="106">
        <v>45518</v>
      </c>
      <c r="X552" s="11">
        <v>3375</v>
      </c>
      <c r="Y552" s="10" t="s">
        <v>272</v>
      </c>
      <c r="Z552" s="4" t="s">
        <v>29</v>
      </c>
      <c r="AB552" s="39" t="s">
        <v>273</v>
      </c>
    </row>
    <row r="553" spans="1:28">
      <c r="A553" s="35">
        <v>3378</v>
      </c>
      <c r="B553" s="38" t="s">
        <v>272</v>
      </c>
      <c r="C553" s="3" t="s">
        <v>24</v>
      </c>
      <c r="D553" s="39"/>
      <c r="E553" s="39"/>
      <c r="F553" s="39"/>
      <c r="G553" s="124" t="s">
        <v>53</v>
      </c>
      <c r="H553" s="27"/>
      <c r="I553" s="27"/>
      <c r="J553" s="99"/>
      <c r="K553" s="99"/>
      <c r="L553" s="50" t="s">
        <v>34</v>
      </c>
      <c r="N553" s="10"/>
      <c r="W553" s="1"/>
      <c r="Y553" s="10"/>
      <c r="AB553" s="39" t="s">
        <v>273</v>
      </c>
    </row>
    <row r="554" spans="1:28">
      <c r="A554" s="35">
        <v>3380</v>
      </c>
      <c r="B554" s="38" t="s">
        <v>272</v>
      </c>
      <c r="C554" s="4" t="s">
        <v>29</v>
      </c>
      <c r="D554" s="39"/>
      <c r="E554" s="39"/>
      <c r="F554" s="39"/>
      <c r="G554" s="124" t="s">
        <v>53</v>
      </c>
      <c r="H554" s="27"/>
      <c r="I554" s="27"/>
      <c r="J554" s="99"/>
      <c r="K554" s="99"/>
      <c r="L554" s="50" t="s">
        <v>26</v>
      </c>
      <c r="M554" s="11">
        <v>3858</v>
      </c>
      <c r="N554" s="10" t="s">
        <v>272</v>
      </c>
      <c r="O554" s="3" t="s">
        <v>24</v>
      </c>
      <c r="Q554" s="4" t="s">
        <v>29</v>
      </c>
      <c r="S554" s="28" t="s">
        <v>25</v>
      </c>
      <c r="T554" s="1" t="s">
        <v>27</v>
      </c>
      <c r="W554" s="106">
        <v>45520</v>
      </c>
      <c r="X554" s="11">
        <v>3380</v>
      </c>
      <c r="Y554" s="10" t="s">
        <v>272</v>
      </c>
      <c r="Z554" s="3" t="s">
        <v>24</v>
      </c>
      <c r="AB554" s="39" t="s">
        <v>273</v>
      </c>
    </row>
    <row r="555" spans="1:28">
      <c r="A555" s="35">
        <v>3385</v>
      </c>
      <c r="B555" s="38" t="s">
        <v>272</v>
      </c>
      <c r="C555" s="4" t="s">
        <v>29</v>
      </c>
      <c r="D555" s="39"/>
      <c r="E555" s="39"/>
      <c r="F555" s="39"/>
      <c r="G555" s="124" t="s">
        <v>53</v>
      </c>
      <c r="H555" s="27"/>
      <c r="I555" s="27"/>
      <c r="J555" s="99"/>
      <c r="K555" s="99"/>
      <c r="N555" s="10"/>
      <c r="W555" s="1"/>
      <c r="Y555" s="10"/>
      <c r="AB555" s="39" t="s">
        <v>280</v>
      </c>
    </row>
    <row r="556" spans="1:28">
      <c r="A556" s="35">
        <v>3389</v>
      </c>
      <c r="B556" s="38" t="s">
        <v>272</v>
      </c>
      <c r="C556" s="3" t="s">
        <v>24</v>
      </c>
      <c r="D556" s="39"/>
      <c r="E556" s="39"/>
      <c r="F556" s="39"/>
      <c r="G556" s="124" t="s">
        <v>53</v>
      </c>
      <c r="H556" s="27"/>
      <c r="I556" s="27"/>
      <c r="J556" s="99"/>
      <c r="K556" s="99"/>
      <c r="N556" s="10"/>
      <c r="W556" s="1"/>
      <c r="Y556" s="10"/>
      <c r="AB556" s="39" t="s">
        <v>280</v>
      </c>
    </row>
    <row r="557" spans="1:28">
      <c r="A557" s="35">
        <v>3391</v>
      </c>
      <c r="B557" s="38" t="s">
        <v>272</v>
      </c>
      <c r="C557" s="3" t="s">
        <v>24</v>
      </c>
      <c r="D557" s="39"/>
      <c r="E557" s="39"/>
      <c r="F557" s="39"/>
      <c r="G557" s="124" t="s">
        <v>53</v>
      </c>
      <c r="H557" s="27"/>
      <c r="I557" s="27"/>
      <c r="J557" s="99"/>
      <c r="K557" s="99"/>
      <c r="L557" s="50" t="s">
        <v>26</v>
      </c>
      <c r="M557" s="11">
        <v>4206</v>
      </c>
      <c r="N557" s="10" t="s">
        <v>272</v>
      </c>
      <c r="O557" s="4" t="s">
        <v>29</v>
      </c>
      <c r="S557" s="28" t="s">
        <v>25</v>
      </c>
      <c r="T557" s="1" t="s">
        <v>31</v>
      </c>
      <c r="W557" s="106">
        <v>45512</v>
      </c>
      <c r="X557" s="11" t="s">
        <v>286</v>
      </c>
      <c r="Y557" s="10" t="s">
        <v>272</v>
      </c>
      <c r="Z557" s="4" t="s">
        <v>29</v>
      </c>
      <c r="AB557" s="39" t="s">
        <v>273</v>
      </c>
    </row>
    <row r="558" spans="1:28">
      <c r="A558" s="35">
        <v>3395</v>
      </c>
      <c r="B558" s="38" t="s">
        <v>272</v>
      </c>
      <c r="C558" s="3" t="s">
        <v>24</v>
      </c>
      <c r="D558" s="39"/>
      <c r="E558" s="39"/>
      <c r="F558" s="39"/>
      <c r="G558" s="124" t="s">
        <v>53</v>
      </c>
      <c r="H558" s="27"/>
      <c r="I558" s="27"/>
      <c r="J558" s="99"/>
      <c r="K558" s="99"/>
      <c r="L558" s="50" t="s">
        <v>26</v>
      </c>
      <c r="M558" s="11">
        <v>3839</v>
      </c>
      <c r="N558" s="10" t="s">
        <v>272</v>
      </c>
      <c r="O558" s="4" t="s">
        <v>29</v>
      </c>
      <c r="Q558" s="4" t="s">
        <v>29</v>
      </c>
      <c r="S558" s="28" t="s">
        <v>25</v>
      </c>
      <c r="T558" s="1" t="s">
        <v>27</v>
      </c>
      <c r="W558" s="106">
        <v>45511</v>
      </c>
      <c r="X558" s="11" t="s">
        <v>289</v>
      </c>
      <c r="Y558" s="10" t="s">
        <v>272</v>
      </c>
      <c r="Z558" s="3" t="s">
        <v>24</v>
      </c>
      <c r="AB558" s="39" t="s">
        <v>273</v>
      </c>
    </row>
    <row r="559" spans="1:28">
      <c r="A559" s="35">
        <v>3397</v>
      </c>
      <c r="B559" s="38" t="s">
        <v>272</v>
      </c>
      <c r="C559" s="6" t="s">
        <v>46</v>
      </c>
      <c r="D559" s="39"/>
      <c r="E559" s="39"/>
      <c r="F559" s="39"/>
      <c r="G559" s="124" t="s">
        <v>53</v>
      </c>
      <c r="H559" s="27"/>
      <c r="I559" s="27"/>
      <c r="J559" s="99"/>
      <c r="K559" s="99"/>
      <c r="N559" s="10"/>
      <c r="W559" s="1"/>
      <c r="Y559" s="10"/>
      <c r="AB559" s="39" t="s">
        <v>280</v>
      </c>
    </row>
    <row r="560" spans="1:28">
      <c r="A560" s="35">
        <v>3408</v>
      </c>
      <c r="B560" s="38" t="s">
        <v>272</v>
      </c>
      <c r="C560" s="3" t="s">
        <v>24</v>
      </c>
      <c r="D560" s="39"/>
      <c r="E560" s="39"/>
      <c r="F560" s="39"/>
      <c r="G560" s="124" t="s">
        <v>53</v>
      </c>
      <c r="H560" s="27"/>
      <c r="I560" s="27"/>
      <c r="J560" s="99"/>
      <c r="K560" s="99"/>
      <c r="N560" s="10"/>
      <c r="W560" s="1"/>
      <c r="Y560" s="10"/>
      <c r="AB560" s="39" t="s">
        <v>280</v>
      </c>
    </row>
    <row r="561" spans="1:28">
      <c r="A561" s="35">
        <v>3412</v>
      </c>
      <c r="B561" s="38" t="s">
        <v>272</v>
      </c>
      <c r="C561" s="4" t="s">
        <v>29</v>
      </c>
      <c r="D561" s="39"/>
      <c r="E561" s="39"/>
      <c r="F561" s="39"/>
      <c r="G561" s="124" t="s">
        <v>53</v>
      </c>
      <c r="H561" s="27"/>
      <c r="I561" s="27"/>
      <c r="J561" s="99"/>
      <c r="K561" s="99"/>
      <c r="N561" s="10"/>
      <c r="W561" s="1"/>
      <c r="Y561" s="10"/>
      <c r="AB561" s="39" t="s">
        <v>280</v>
      </c>
    </row>
    <row r="562" spans="1:28">
      <c r="A562" s="35">
        <v>3413</v>
      </c>
      <c r="B562" s="38" t="s">
        <v>272</v>
      </c>
      <c r="C562" s="4" t="s">
        <v>29</v>
      </c>
      <c r="D562" s="39"/>
      <c r="E562" s="39"/>
      <c r="F562" s="39"/>
      <c r="G562" s="124" t="s">
        <v>53</v>
      </c>
      <c r="H562" s="27"/>
      <c r="I562" s="27"/>
      <c r="J562" s="99"/>
      <c r="K562" s="99"/>
      <c r="L562" s="50" t="s">
        <v>26</v>
      </c>
      <c r="M562" s="11">
        <v>3838</v>
      </c>
      <c r="N562" s="10" t="s">
        <v>272</v>
      </c>
      <c r="O562" s="4" t="s">
        <v>29</v>
      </c>
      <c r="S562" s="28" t="s">
        <v>25</v>
      </c>
      <c r="T562" s="1" t="s">
        <v>27</v>
      </c>
      <c r="W562" s="106">
        <v>45508</v>
      </c>
      <c r="X562" s="11" t="s">
        <v>36</v>
      </c>
      <c r="Y562" s="10" t="s">
        <v>272</v>
      </c>
      <c r="AB562" s="39" t="s">
        <v>273</v>
      </c>
    </row>
    <row r="563" spans="1:28">
      <c r="A563" s="35">
        <v>3414</v>
      </c>
      <c r="B563" s="38" t="s">
        <v>272</v>
      </c>
      <c r="C563" s="3" t="s">
        <v>24</v>
      </c>
      <c r="D563" s="39"/>
      <c r="E563" s="39"/>
      <c r="F563" s="39"/>
      <c r="G563" s="124" t="s">
        <v>53</v>
      </c>
      <c r="H563" s="27"/>
      <c r="I563" s="27"/>
      <c r="J563" s="99"/>
      <c r="K563" s="99"/>
      <c r="L563" s="50" t="s">
        <v>26</v>
      </c>
      <c r="M563" s="11">
        <v>4140</v>
      </c>
      <c r="N563" s="10" t="s">
        <v>272</v>
      </c>
      <c r="O563" s="3" t="s">
        <v>24</v>
      </c>
      <c r="S563" s="28" t="s">
        <v>25</v>
      </c>
      <c r="T563" s="1" t="s">
        <v>31</v>
      </c>
      <c r="W563" s="106">
        <v>45511</v>
      </c>
      <c r="X563" s="11" t="s">
        <v>275</v>
      </c>
      <c r="Y563" s="10" t="s">
        <v>272</v>
      </c>
      <c r="AB563" s="39" t="s">
        <v>273</v>
      </c>
    </row>
    <row r="564" spans="1:28">
      <c r="A564" s="35">
        <v>3416</v>
      </c>
      <c r="B564" s="38" t="s">
        <v>272</v>
      </c>
      <c r="C564" s="3" t="s">
        <v>24</v>
      </c>
      <c r="D564" s="39"/>
      <c r="E564" s="39"/>
      <c r="F564" s="39"/>
      <c r="G564" s="124" t="s">
        <v>53</v>
      </c>
      <c r="H564" s="27"/>
      <c r="I564" s="27"/>
      <c r="J564" s="99"/>
      <c r="K564" s="99"/>
      <c r="L564" s="50" t="s">
        <v>26</v>
      </c>
      <c r="M564" s="11">
        <v>4186</v>
      </c>
      <c r="N564" s="10" t="s">
        <v>272</v>
      </c>
      <c r="O564" s="4" t="s">
        <v>29</v>
      </c>
      <c r="S564" s="28" t="s">
        <v>25</v>
      </c>
      <c r="T564" s="1" t="s">
        <v>31</v>
      </c>
      <c r="W564" s="106">
        <v>45505</v>
      </c>
      <c r="X564" s="11" t="s">
        <v>275</v>
      </c>
      <c r="Y564" s="10" t="s">
        <v>272</v>
      </c>
      <c r="AB564" s="39" t="s">
        <v>273</v>
      </c>
    </row>
    <row r="565" spans="1:28">
      <c r="A565" s="35">
        <v>3420</v>
      </c>
      <c r="B565" s="38" t="s">
        <v>272</v>
      </c>
      <c r="C565" s="3" t="s">
        <v>24</v>
      </c>
      <c r="D565" s="39"/>
      <c r="E565" s="39"/>
      <c r="F565" s="39"/>
      <c r="G565" s="124" t="s">
        <v>53</v>
      </c>
      <c r="H565" s="27"/>
      <c r="I565" s="27"/>
      <c r="J565" s="99"/>
      <c r="K565" s="99"/>
      <c r="L565" s="50" t="s">
        <v>26</v>
      </c>
      <c r="M565" s="11">
        <v>3832</v>
      </c>
      <c r="N565" s="10" t="s">
        <v>272</v>
      </c>
      <c r="O565" s="3" t="s">
        <v>24</v>
      </c>
      <c r="S565" s="28" t="s">
        <v>25</v>
      </c>
      <c r="T565" s="1" t="s">
        <v>31</v>
      </c>
      <c r="W565" s="106">
        <v>45504</v>
      </c>
      <c r="X565" s="11">
        <v>3420</v>
      </c>
      <c r="Y565" s="10" t="s">
        <v>272</v>
      </c>
      <c r="Z565" s="4" t="s">
        <v>29</v>
      </c>
      <c r="AB565" s="39" t="s">
        <v>273</v>
      </c>
    </row>
    <row r="566" spans="1:28">
      <c r="A566" s="35">
        <v>3421</v>
      </c>
      <c r="B566" s="38" t="s">
        <v>272</v>
      </c>
      <c r="C566" s="3" t="s">
        <v>24</v>
      </c>
      <c r="D566" s="39"/>
      <c r="E566" s="39"/>
      <c r="F566" s="39"/>
      <c r="G566" s="124" t="s">
        <v>53</v>
      </c>
      <c r="H566" s="27"/>
      <c r="I566" s="27"/>
      <c r="J566" s="99"/>
      <c r="K566" s="99"/>
      <c r="L566" s="50" t="s">
        <v>26</v>
      </c>
      <c r="M566" s="11">
        <v>3877</v>
      </c>
      <c r="N566" s="10" t="s">
        <v>272</v>
      </c>
      <c r="O566" s="4" t="s">
        <v>29</v>
      </c>
      <c r="S566" s="28" t="s">
        <v>25</v>
      </c>
      <c r="T566" s="1" t="s">
        <v>27</v>
      </c>
      <c r="W566" s="106">
        <v>45530</v>
      </c>
      <c r="X566" s="11" t="s">
        <v>274</v>
      </c>
      <c r="Y566" s="10" t="s">
        <v>272</v>
      </c>
      <c r="Z566" s="4" t="s">
        <v>29</v>
      </c>
      <c r="AB566" s="39" t="s">
        <v>273</v>
      </c>
    </row>
    <row r="567" spans="1:28">
      <c r="A567" s="35">
        <v>3422</v>
      </c>
      <c r="B567" s="38" t="s">
        <v>272</v>
      </c>
      <c r="C567" s="3" t="s">
        <v>24</v>
      </c>
      <c r="D567" s="39"/>
      <c r="E567" s="39"/>
      <c r="F567" s="39"/>
      <c r="G567" s="124" t="s">
        <v>53</v>
      </c>
      <c r="H567" s="27"/>
      <c r="I567" s="27"/>
      <c r="J567" s="99"/>
      <c r="K567" s="99"/>
      <c r="L567" s="50" t="s">
        <v>26</v>
      </c>
      <c r="M567" s="11">
        <v>4162</v>
      </c>
      <c r="N567" s="10" t="s">
        <v>272</v>
      </c>
      <c r="O567" s="3" t="s">
        <v>24</v>
      </c>
      <c r="S567" s="28" t="s">
        <v>25</v>
      </c>
      <c r="T567" s="1" t="s">
        <v>31</v>
      </c>
      <c r="W567" s="106">
        <v>45513</v>
      </c>
      <c r="X567" s="11" t="s">
        <v>290</v>
      </c>
      <c r="Y567" s="10" t="s">
        <v>272</v>
      </c>
      <c r="Z567" s="6" t="s">
        <v>46</v>
      </c>
      <c r="AB567" s="39" t="s">
        <v>273</v>
      </c>
    </row>
    <row r="568" spans="1:28">
      <c r="A568" s="35">
        <v>3424</v>
      </c>
      <c r="B568" s="38" t="s">
        <v>272</v>
      </c>
      <c r="C568" s="3" t="s">
        <v>24</v>
      </c>
      <c r="D568" s="39"/>
      <c r="E568" s="39"/>
      <c r="F568" s="39"/>
      <c r="G568" s="124" t="s">
        <v>53</v>
      </c>
      <c r="H568" s="27"/>
      <c r="I568" s="27"/>
      <c r="J568" s="99"/>
      <c r="K568" s="99"/>
      <c r="L568" s="50" t="s">
        <v>26</v>
      </c>
      <c r="M568" s="11">
        <v>3876</v>
      </c>
      <c r="N568" s="10" t="s">
        <v>272</v>
      </c>
      <c r="O568" s="3" t="s">
        <v>24</v>
      </c>
      <c r="S568" s="28" t="s">
        <v>25</v>
      </c>
      <c r="T568" s="1" t="s">
        <v>27</v>
      </c>
      <c r="W568" s="106">
        <v>45528</v>
      </c>
      <c r="X568" s="11" t="s">
        <v>291</v>
      </c>
      <c r="Y568" s="10" t="s">
        <v>272</v>
      </c>
      <c r="Z568" s="4" t="s">
        <v>29</v>
      </c>
      <c r="AB568" s="39" t="s">
        <v>273</v>
      </c>
    </row>
    <row r="569" spans="1:28">
      <c r="A569" s="35">
        <v>3425</v>
      </c>
      <c r="B569" s="38" t="s">
        <v>272</v>
      </c>
      <c r="C569" s="4" t="s">
        <v>29</v>
      </c>
      <c r="D569" s="39"/>
      <c r="E569" s="39"/>
      <c r="F569" s="39"/>
      <c r="G569" s="124" t="s">
        <v>53</v>
      </c>
      <c r="H569" s="27"/>
      <c r="I569" s="27"/>
      <c r="J569" s="99"/>
      <c r="K569" s="99"/>
      <c r="N569" s="10"/>
      <c r="W569" s="1"/>
      <c r="Y569" s="10"/>
      <c r="AB569" s="39" t="s">
        <v>273</v>
      </c>
    </row>
    <row r="570" spans="1:28">
      <c r="A570" s="35">
        <v>3445</v>
      </c>
      <c r="B570" s="38" t="s">
        <v>272</v>
      </c>
      <c r="C570" s="3" t="s">
        <v>24</v>
      </c>
      <c r="D570" s="39"/>
      <c r="E570" s="39"/>
      <c r="F570" s="39"/>
      <c r="G570" s="124" t="s">
        <v>53</v>
      </c>
      <c r="H570" s="27"/>
      <c r="I570" s="27"/>
      <c r="J570" s="99"/>
      <c r="K570" s="99"/>
      <c r="L570" s="50" t="s">
        <v>26</v>
      </c>
      <c r="M570" s="11">
        <v>4164</v>
      </c>
      <c r="N570" s="10" t="s">
        <v>272</v>
      </c>
      <c r="O570" s="3" t="s">
        <v>24</v>
      </c>
      <c r="S570" s="28" t="s">
        <v>25</v>
      </c>
      <c r="T570" s="1" t="s">
        <v>31</v>
      </c>
      <c r="W570" s="106">
        <v>45527</v>
      </c>
      <c r="X570" s="11" t="s">
        <v>292</v>
      </c>
      <c r="Y570" s="10" t="s">
        <v>272</v>
      </c>
      <c r="Z570" s="4" t="s">
        <v>29</v>
      </c>
      <c r="AB570" s="39" t="s">
        <v>273</v>
      </c>
    </row>
    <row r="571" spans="1:28">
      <c r="A571" s="35">
        <v>3458</v>
      </c>
      <c r="B571" s="38" t="s">
        <v>272</v>
      </c>
      <c r="C571" s="3" t="s">
        <v>24</v>
      </c>
      <c r="D571" s="39"/>
      <c r="E571" s="39"/>
      <c r="F571" s="39"/>
      <c r="G571" s="124" t="s">
        <v>53</v>
      </c>
      <c r="H571" s="27"/>
      <c r="I571" s="27"/>
      <c r="J571" s="99"/>
      <c r="K571" s="99"/>
      <c r="N571" s="10"/>
      <c r="W571" s="1"/>
      <c r="Y571" s="10"/>
      <c r="AB571" s="39" t="s">
        <v>273</v>
      </c>
    </row>
    <row r="572" spans="1:28">
      <c r="A572" s="35">
        <v>3463</v>
      </c>
      <c r="B572" s="38" t="s">
        <v>272</v>
      </c>
      <c r="C572" s="4" t="s">
        <v>29</v>
      </c>
      <c r="D572" s="39"/>
      <c r="E572" s="39"/>
      <c r="F572" s="39"/>
      <c r="G572" s="124" t="s">
        <v>53</v>
      </c>
      <c r="H572" s="27"/>
      <c r="I572" s="27"/>
      <c r="J572" s="99"/>
      <c r="K572" s="99"/>
      <c r="L572" s="50" t="s">
        <v>26</v>
      </c>
      <c r="M572" s="11">
        <v>3407</v>
      </c>
      <c r="N572" s="10" t="s">
        <v>272</v>
      </c>
      <c r="O572" s="41"/>
      <c r="S572" s="28" t="s">
        <v>25</v>
      </c>
      <c r="T572" s="1" t="s">
        <v>31</v>
      </c>
      <c r="W572" s="106">
        <v>45524</v>
      </c>
      <c r="X572" s="11" t="s">
        <v>276</v>
      </c>
      <c r="Y572" s="10" t="s">
        <v>272</v>
      </c>
      <c r="Z572" s="4" t="s">
        <v>29</v>
      </c>
      <c r="AB572" s="39" t="s">
        <v>273</v>
      </c>
    </row>
    <row r="573" spans="1:28">
      <c r="A573" s="35">
        <v>3472</v>
      </c>
      <c r="B573" s="38" t="s">
        <v>272</v>
      </c>
      <c r="C573" s="3" t="s">
        <v>24</v>
      </c>
      <c r="D573" s="39"/>
      <c r="E573" s="39"/>
      <c r="F573" s="39"/>
      <c r="G573" s="124" t="s">
        <v>53</v>
      </c>
      <c r="H573" s="27"/>
      <c r="I573" s="27"/>
      <c r="J573" s="99"/>
      <c r="K573" s="99"/>
      <c r="L573" s="50" t="s">
        <v>26</v>
      </c>
      <c r="M573" s="11">
        <v>3815</v>
      </c>
      <c r="N573" s="10" t="s">
        <v>272</v>
      </c>
      <c r="O573" s="4" t="s">
        <v>29</v>
      </c>
      <c r="S573" s="28" t="s">
        <v>25</v>
      </c>
      <c r="T573" s="1" t="s">
        <v>31</v>
      </c>
      <c r="W573" s="106">
        <v>45517</v>
      </c>
      <c r="X573" s="11" t="s">
        <v>275</v>
      </c>
      <c r="Y573" s="10" t="s">
        <v>272</v>
      </c>
      <c r="AB573" s="39" t="s">
        <v>273</v>
      </c>
    </row>
    <row r="574" spans="1:28">
      <c r="A574" s="35">
        <v>3475</v>
      </c>
      <c r="B574" s="38" t="s">
        <v>272</v>
      </c>
      <c r="C574" s="4" t="s">
        <v>29</v>
      </c>
      <c r="D574" s="39"/>
      <c r="E574" s="39"/>
      <c r="F574" s="39"/>
      <c r="G574" s="124" t="s">
        <v>53</v>
      </c>
      <c r="H574" s="27"/>
      <c r="I574" s="27"/>
      <c r="J574" s="99"/>
      <c r="K574" s="99"/>
      <c r="N574" s="10"/>
      <c r="W574" s="1"/>
      <c r="Y574" s="10"/>
      <c r="AB574" s="39" t="s">
        <v>280</v>
      </c>
    </row>
    <row r="575" spans="1:28">
      <c r="A575" s="35">
        <v>3485</v>
      </c>
      <c r="B575" s="38" t="s">
        <v>272</v>
      </c>
      <c r="C575" s="4" t="s">
        <v>29</v>
      </c>
      <c r="D575" s="39"/>
      <c r="E575" s="39"/>
      <c r="F575" s="39"/>
      <c r="G575" s="124" t="s">
        <v>53</v>
      </c>
      <c r="H575" s="27"/>
      <c r="I575" s="27"/>
      <c r="J575" s="99"/>
      <c r="K575" s="99"/>
      <c r="L575" s="50" t="s">
        <v>26</v>
      </c>
      <c r="M575" s="11">
        <v>4144</v>
      </c>
      <c r="N575" s="10" t="s">
        <v>272</v>
      </c>
      <c r="O575" s="4" t="s">
        <v>29</v>
      </c>
      <c r="S575" s="28" t="s">
        <v>25</v>
      </c>
      <c r="T575" s="1" t="s">
        <v>31</v>
      </c>
      <c r="W575" s="106">
        <v>45525</v>
      </c>
      <c r="X575" s="11" t="s">
        <v>287</v>
      </c>
      <c r="Y575" s="10" t="s">
        <v>272</v>
      </c>
      <c r="Z575" s="4" t="s">
        <v>29</v>
      </c>
      <c r="AB575" s="39" t="s">
        <v>273</v>
      </c>
    </row>
    <row r="576" spans="1:28">
      <c r="A576" s="35">
        <v>3487</v>
      </c>
      <c r="B576" s="38" t="s">
        <v>272</v>
      </c>
      <c r="C576" s="4" t="s">
        <v>29</v>
      </c>
      <c r="D576" s="39"/>
      <c r="E576" s="39"/>
      <c r="F576" s="39"/>
      <c r="G576" s="124" t="s">
        <v>53</v>
      </c>
      <c r="H576" s="27"/>
      <c r="I576" s="27"/>
      <c r="J576" s="99"/>
      <c r="K576" s="99"/>
      <c r="N576" s="10"/>
      <c r="W576" s="1"/>
      <c r="Y576" s="10"/>
      <c r="AB576" s="39" t="s">
        <v>273</v>
      </c>
    </row>
    <row r="577" spans="1:28">
      <c r="A577" s="35">
        <v>3488</v>
      </c>
      <c r="B577" s="38" t="s">
        <v>272</v>
      </c>
      <c r="C577" s="3" t="s">
        <v>24</v>
      </c>
      <c r="D577" s="39"/>
      <c r="E577" s="39"/>
      <c r="F577" s="39"/>
      <c r="G577" s="124" t="s">
        <v>53</v>
      </c>
      <c r="H577" s="27"/>
      <c r="I577" s="27"/>
      <c r="J577" s="99"/>
      <c r="K577" s="99"/>
      <c r="N577" s="10"/>
      <c r="W577" s="1"/>
      <c r="Y577" s="10"/>
      <c r="AB577" s="39" t="s">
        <v>273</v>
      </c>
    </row>
    <row r="578" spans="1:28">
      <c r="A578" s="35">
        <v>3492</v>
      </c>
      <c r="B578" s="38" t="s">
        <v>272</v>
      </c>
      <c r="C578" s="3" t="s">
        <v>24</v>
      </c>
      <c r="D578" s="39"/>
      <c r="E578" s="39"/>
      <c r="F578" s="39"/>
      <c r="G578" s="124" t="s">
        <v>53</v>
      </c>
      <c r="H578" s="27"/>
      <c r="I578" s="27"/>
      <c r="J578" s="99"/>
      <c r="K578" s="99"/>
      <c r="N578" s="10"/>
      <c r="W578" s="1"/>
      <c r="Y578" s="10"/>
      <c r="AB578" s="39" t="s">
        <v>280</v>
      </c>
    </row>
    <row r="579" spans="1:28">
      <c r="A579" s="35">
        <v>3494</v>
      </c>
      <c r="B579" s="38" t="s">
        <v>272</v>
      </c>
      <c r="C579" s="3" t="s">
        <v>24</v>
      </c>
      <c r="D579" s="39"/>
      <c r="E579" s="39"/>
      <c r="F579" s="39"/>
      <c r="G579" s="124" t="s">
        <v>53</v>
      </c>
      <c r="H579" s="27"/>
      <c r="I579" s="27"/>
      <c r="J579" s="99"/>
      <c r="K579" s="99"/>
      <c r="L579" s="50" t="s">
        <v>26</v>
      </c>
      <c r="M579" s="11">
        <v>3873</v>
      </c>
      <c r="N579" s="10" t="s">
        <v>272</v>
      </c>
      <c r="O579" s="3" t="s">
        <v>24</v>
      </c>
      <c r="S579" s="28" t="s">
        <v>25</v>
      </c>
      <c r="T579" s="1" t="s">
        <v>27</v>
      </c>
      <c r="W579" s="106">
        <v>45527</v>
      </c>
      <c r="X579" s="11" t="s">
        <v>292</v>
      </c>
      <c r="Y579" s="10" t="s">
        <v>272</v>
      </c>
      <c r="Z579" s="4" t="s">
        <v>29</v>
      </c>
      <c r="AB579" s="39" t="s">
        <v>273</v>
      </c>
    </row>
    <row r="580" spans="1:28">
      <c r="A580" s="35">
        <v>3499</v>
      </c>
      <c r="B580" s="38" t="s">
        <v>272</v>
      </c>
      <c r="C580" s="4" t="s">
        <v>29</v>
      </c>
      <c r="D580" s="39"/>
      <c r="E580" s="39"/>
      <c r="F580" s="39"/>
      <c r="G580" s="124" t="s">
        <v>53</v>
      </c>
      <c r="H580" s="27"/>
      <c r="I580" s="27"/>
      <c r="J580" s="99"/>
      <c r="K580" s="99"/>
      <c r="L580" s="50" t="s">
        <v>26</v>
      </c>
      <c r="M580" s="11">
        <v>3881</v>
      </c>
      <c r="N580" s="10" t="s">
        <v>272</v>
      </c>
      <c r="O580" s="4" t="s">
        <v>29</v>
      </c>
      <c r="S580" s="28" t="s">
        <v>25</v>
      </c>
      <c r="T580" s="1" t="s">
        <v>27</v>
      </c>
      <c r="W580" s="106">
        <v>45532</v>
      </c>
      <c r="X580" s="11" t="s">
        <v>283</v>
      </c>
      <c r="Y580" s="10" t="s">
        <v>272</v>
      </c>
      <c r="Z580" s="4" t="s">
        <v>29</v>
      </c>
      <c r="AB580" s="39" t="s">
        <v>273</v>
      </c>
    </row>
    <row r="581" spans="1:28">
      <c r="A581" s="35">
        <v>3500</v>
      </c>
      <c r="B581" s="38" t="s">
        <v>272</v>
      </c>
      <c r="C581" s="129"/>
      <c r="D581" s="39"/>
      <c r="E581" s="39"/>
      <c r="F581" s="39"/>
      <c r="G581" s="124" t="s">
        <v>53</v>
      </c>
      <c r="H581" s="27"/>
      <c r="I581" s="27"/>
      <c r="J581" s="99"/>
      <c r="K581" s="99"/>
      <c r="N581" s="10"/>
      <c r="W581" s="1"/>
      <c r="Y581" s="10"/>
      <c r="AB581" s="39" t="s">
        <v>293</v>
      </c>
    </row>
    <row r="582" spans="1:28">
      <c r="A582" s="35">
        <v>3505</v>
      </c>
      <c r="B582" s="38" t="s">
        <v>272</v>
      </c>
      <c r="C582" s="3" t="s">
        <v>24</v>
      </c>
      <c r="D582" s="39"/>
      <c r="E582" s="39"/>
      <c r="F582" s="39"/>
      <c r="G582" s="124" t="s">
        <v>53</v>
      </c>
      <c r="H582" s="27"/>
      <c r="I582" s="27"/>
      <c r="J582" s="99"/>
      <c r="K582" s="99"/>
      <c r="L582" s="50" t="s">
        <v>26</v>
      </c>
      <c r="M582" s="11">
        <v>3849</v>
      </c>
      <c r="N582" s="10" t="s">
        <v>272</v>
      </c>
      <c r="O582" s="6" t="s">
        <v>46</v>
      </c>
      <c r="Q582" s="3" t="s">
        <v>24</v>
      </c>
      <c r="S582" s="28" t="s">
        <v>25</v>
      </c>
      <c r="T582" s="1" t="s">
        <v>31</v>
      </c>
      <c r="W582" s="106">
        <v>45515</v>
      </c>
      <c r="X582" s="11">
        <v>3505</v>
      </c>
      <c r="Y582" s="10" t="s">
        <v>272</v>
      </c>
      <c r="Z582" s="4" t="s">
        <v>29</v>
      </c>
      <c r="AB582" s="39" t="s">
        <v>273</v>
      </c>
    </row>
    <row r="583" spans="1:28">
      <c r="A583" s="35">
        <v>3513</v>
      </c>
      <c r="B583" s="38" t="s">
        <v>272</v>
      </c>
      <c r="C583" s="3" t="s">
        <v>24</v>
      </c>
      <c r="D583" s="39"/>
      <c r="E583" s="39"/>
      <c r="F583" s="39"/>
      <c r="G583" s="124" t="s">
        <v>53</v>
      </c>
      <c r="H583" s="27"/>
      <c r="I583" s="27"/>
      <c r="J583" s="99"/>
      <c r="K583" s="99"/>
      <c r="L583" s="50" t="s">
        <v>26</v>
      </c>
      <c r="M583" s="11">
        <v>3860</v>
      </c>
      <c r="N583" s="10" t="s">
        <v>272</v>
      </c>
      <c r="O583" s="3" t="s">
        <v>24</v>
      </c>
      <c r="S583" s="28" t="s">
        <v>25</v>
      </c>
      <c r="T583" s="1" t="s">
        <v>27</v>
      </c>
      <c r="W583" s="106">
        <v>45521</v>
      </c>
      <c r="X583" s="11" t="s">
        <v>294</v>
      </c>
      <c r="Y583" s="10" t="s">
        <v>272</v>
      </c>
      <c r="Z583" s="4" t="s">
        <v>29</v>
      </c>
      <c r="AB583" s="39" t="s">
        <v>280</v>
      </c>
    </row>
    <row r="584" spans="1:28">
      <c r="A584" s="35">
        <v>3516</v>
      </c>
      <c r="B584" s="38" t="s">
        <v>272</v>
      </c>
      <c r="C584" s="4" t="s">
        <v>29</v>
      </c>
      <c r="D584" s="39"/>
      <c r="E584" s="39"/>
      <c r="F584" s="39"/>
      <c r="G584" s="124" t="s">
        <v>53</v>
      </c>
      <c r="H584" s="27"/>
      <c r="I584" s="27"/>
      <c r="J584" s="99"/>
      <c r="K584" s="99"/>
      <c r="N584" s="10"/>
      <c r="W584" s="1"/>
      <c r="Y584" s="10"/>
      <c r="AB584" s="39" t="s">
        <v>280</v>
      </c>
    </row>
    <row r="585" spans="1:28">
      <c r="A585" s="35">
        <v>3517</v>
      </c>
      <c r="B585" s="38" t="s">
        <v>272</v>
      </c>
      <c r="C585" s="3" t="s">
        <v>24</v>
      </c>
      <c r="D585" s="39"/>
      <c r="E585" s="39"/>
      <c r="F585" s="39"/>
      <c r="G585" s="124" t="s">
        <v>53</v>
      </c>
      <c r="H585" s="27"/>
      <c r="I585" s="27"/>
      <c r="J585" s="99"/>
      <c r="K585" s="99"/>
      <c r="L585" s="50" t="s">
        <v>26</v>
      </c>
      <c r="M585" s="11">
        <v>3828</v>
      </c>
      <c r="N585" s="10" t="s">
        <v>272</v>
      </c>
      <c r="O585" s="3" t="s">
        <v>24</v>
      </c>
      <c r="S585" s="28" t="s">
        <v>25</v>
      </c>
      <c r="T585" s="1" t="s">
        <v>27</v>
      </c>
      <c r="W585" s="106">
        <v>45504</v>
      </c>
      <c r="X585" s="11">
        <v>1</v>
      </c>
      <c r="Y585" s="10" t="s">
        <v>272</v>
      </c>
      <c r="AB585" s="39" t="s">
        <v>273</v>
      </c>
    </row>
    <row r="586" spans="1:28">
      <c r="A586" s="35">
        <v>3524</v>
      </c>
      <c r="B586" s="38" t="s">
        <v>272</v>
      </c>
      <c r="C586" s="3" t="s">
        <v>24</v>
      </c>
      <c r="D586" s="39"/>
      <c r="E586" s="39"/>
      <c r="F586" s="39"/>
      <c r="G586" s="124" t="s">
        <v>53</v>
      </c>
      <c r="H586" s="27"/>
      <c r="I586" s="27"/>
      <c r="J586" s="99"/>
      <c r="K586" s="99"/>
      <c r="L586" s="50" t="s">
        <v>26</v>
      </c>
      <c r="M586" s="11">
        <v>4147</v>
      </c>
      <c r="N586" s="10" t="s">
        <v>272</v>
      </c>
      <c r="S586" s="28" t="s">
        <v>25</v>
      </c>
      <c r="T586" s="1" t="s">
        <v>31</v>
      </c>
      <c r="W586" s="106">
        <v>45535</v>
      </c>
      <c r="X586" s="11">
        <v>3524</v>
      </c>
      <c r="Y586" s="10" t="s">
        <v>272</v>
      </c>
      <c r="Z586" s="3" t="s">
        <v>24</v>
      </c>
      <c r="AB586" s="39" t="s">
        <v>273</v>
      </c>
    </row>
    <row r="587" spans="1:28">
      <c r="A587" s="35">
        <v>3530</v>
      </c>
      <c r="B587" s="38" t="s">
        <v>272</v>
      </c>
      <c r="C587" s="4" t="s">
        <v>29</v>
      </c>
      <c r="D587" s="39"/>
      <c r="E587" s="39"/>
      <c r="F587" s="39"/>
      <c r="G587" s="124" t="s">
        <v>53</v>
      </c>
      <c r="H587" s="27"/>
      <c r="I587" s="27"/>
      <c r="J587" s="99"/>
      <c r="K587" s="99"/>
      <c r="L587" s="50" t="s">
        <v>26</v>
      </c>
      <c r="M587" s="11">
        <v>3909</v>
      </c>
      <c r="N587" s="10" t="s">
        <v>272</v>
      </c>
      <c r="O587" s="1" t="s">
        <v>36</v>
      </c>
      <c r="S587" s="28" t="s">
        <v>25</v>
      </c>
      <c r="T587" s="1" t="s">
        <v>31</v>
      </c>
      <c r="W587" s="106">
        <v>45521</v>
      </c>
      <c r="X587" s="11" t="s">
        <v>295</v>
      </c>
      <c r="Y587" s="10" t="s">
        <v>272</v>
      </c>
      <c r="Z587" s="4" t="s">
        <v>29</v>
      </c>
      <c r="AB587" s="39" t="s">
        <v>273</v>
      </c>
    </row>
    <row r="588" spans="1:28">
      <c r="A588" s="35">
        <v>3537</v>
      </c>
      <c r="B588" s="38" t="s">
        <v>272</v>
      </c>
      <c r="C588" s="3" t="s">
        <v>24</v>
      </c>
      <c r="D588" s="39"/>
      <c r="E588" s="39"/>
      <c r="F588" s="39"/>
      <c r="G588" s="124" t="s">
        <v>53</v>
      </c>
      <c r="H588" s="27"/>
      <c r="I588" s="27"/>
      <c r="J588" s="99"/>
      <c r="K588" s="99"/>
      <c r="L588" s="50" t="s">
        <v>26</v>
      </c>
      <c r="M588" s="11">
        <v>3882</v>
      </c>
      <c r="N588" s="10" t="s">
        <v>272</v>
      </c>
      <c r="O588" s="4" t="s">
        <v>29</v>
      </c>
      <c r="S588" s="28" t="s">
        <v>25</v>
      </c>
      <c r="T588" s="1" t="s">
        <v>27</v>
      </c>
      <c r="W588" s="106">
        <v>45532</v>
      </c>
      <c r="X588" s="11" t="s">
        <v>283</v>
      </c>
      <c r="Y588" s="10" t="s">
        <v>272</v>
      </c>
      <c r="Z588" s="4" t="s">
        <v>29</v>
      </c>
      <c r="AB588" s="39" t="s">
        <v>273</v>
      </c>
    </row>
    <row r="589" spans="1:28">
      <c r="A589" s="35">
        <v>3543</v>
      </c>
      <c r="B589" s="38" t="s">
        <v>272</v>
      </c>
      <c r="C589" s="4" t="s">
        <v>29</v>
      </c>
      <c r="D589" s="39"/>
      <c r="E589" s="39"/>
      <c r="F589" s="39"/>
      <c r="G589" s="124" t="s">
        <v>53</v>
      </c>
      <c r="H589" s="27"/>
      <c r="I589" s="27"/>
      <c r="J589" s="99"/>
      <c r="K589" s="99"/>
      <c r="L589" s="50" t="s">
        <v>26</v>
      </c>
      <c r="M589" s="11">
        <v>4116</v>
      </c>
      <c r="N589" s="10" t="s">
        <v>272</v>
      </c>
      <c r="O589" s="4" t="s">
        <v>29</v>
      </c>
      <c r="S589" s="28" t="s">
        <v>25</v>
      </c>
      <c r="T589" s="1" t="s">
        <v>31</v>
      </c>
      <c r="W589" s="106">
        <v>45517</v>
      </c>
      <c r="X589" s="11" t="s">
        <v>282</v>
      </c>
      <c r="Y589" s="10" t="s">
        <v>272</v>
      </c>
      <c r="Z589" s="4" t="s">
        <v>29</v>
      </c>
      <c r="AB589" s="39" t="s">
        <v>273</v>
      </c>
    </row>
    <row r="590" spans="1:28">
      <c r="A590" s="35">
        <v>3546</v>
      </c>
      <c r="B590" s="38" t="s">
        <v>272</v>
      </c>
      <c r="C590" s="4" t="s">
        <v>29</v>
      </c>
      <c r="D590" s="39"/>
      <c r="E590" s="39"/>
      <c r="F590" s="39"/>
      <c r="G590" s="124" t="s">
        <v>53</v>
      </c>
      <c r="H590" s="27"/>
      <c r="I590" s="27"/>
      <c r="J590" s="99"/>
      <c r="K590" s="99"/>
      <c r="L590" s="50" t="s">
        <v>26</v>
      </c>
      <c r="M590" s="11">
        <v>3837</v>
      </c>
      <c r="N590" s="10" t="s">
        <v>272</v>
      </c>
      <c r="O590" s="4" t="s">
        <v>29</v>
      </c>
      <c r="S590" s="28" t="s">
        <v>25</v>
      </c>
      <c r="T590" s="1" t="s">
        <v>27</v>
      </c>
      <c r="W590" s="106">
        <v>45508</v>
      </c>
      <c r="X590" s="11">
        <v>3546</v>
      </c>
      <c r="Y590" s="10" t="s">
        <v>272</v>
      </c>
      <c r="Z590" s="4" t="s">
        <v>29</v>
      </c>
      <c r="AB590" s="39" t="s">
        <v>273</v>
      </c>
    </row>
    <row r="591" spans="1:28">
      <c r="A591" s="35">
        <v>3547</v>
      </c>
      <c r="B591" s="38" t="s">
        <v>272</v>
      </c>
      <c r="C591" s="4" t="s">
        <v>29</v>
      </c>
      <c r="D591" s="39"/>
      <c r="E591" s="39"/>
      <c r="F591" s="39"/>
      <c r="G591" s="124" t="s">
        <v>53</v>
      </c>
      <c r="H591" s="27"/>
      <c r="I591" s="27"/>
      <c r="J591" s="99"/>
      <c r="K591" s="99"/>
      <c r="L591" s="50" t="s">
        <v>26</v>
      </c>
      <c r="M591" s="11">
        <v>3850</v>
      </c>
      <c r="N591" s="10" t="s">
        <v>272</v>
      </c>
      <c r="O591" s="3" t="s">
        <v>24</v>
      </c>
      <c r="S591" s="28" t="s">
        <v>25</v>
      </c>
      <c r="T591" s="1" t="s">
        <v>27</v>
      </c>
      <c r="W591" s="106">
        <v>45516</v>
      </c>
      <c r="X591" s="11" t="s">
        <v>296</v>
      </c>
      <c r="Y591" s="10" t="s">
        <v>272</v>
      </c>
      <c r="Z591" s="3" t="s">
        <v>24</v>
      </c>
      <c r="AB591" s="39" t="s">
        <v>273</v>
      </c>
    </row>
    <row r="592" spans="1:28">
      <c r="A592" s="35">
        <v>3548</v>
      </c>
      <c r="B592" s="38" t="s">
        <v>272</v>
      </c>
      <c r="C592" s="3" t="s">
        <v>24</v>
      </c>
      <c r="D592" s="39"/>
      <c r="E592" s="39"/>
      <c r="F592" s="39"/>
      <c r="G592" s="124" t="s">
        <v>53</v>
      </c>
      <c r="H592" s="27"/>
      <c r="I592" s="27"/>
      <c r="J592" s="99"/>
      <c r="K592" s="99"/>
      <c r="L592" s="50" t="s">
        <v>26</v>
      </c>
      <c r="M592" s="11">
        <v>3851</v>
      </c>
      <c r="N592" s="10" t="s">
        <v>272</v>
      </c>
      <c r="O592" s="3" t="s">
        <v>24</v>
      </c>
      <c r="S592" s="28" t="s">
        <v>25</v>
      </c>
      <c r="T592" s="1" t="s">
        <v>27</v>
      </c>
      <c r="W592" s="106">
        <v>45516</v>
      </c>
      <c r="X592" s="11" t="s">
        <v>296</v>
      </c>
      <c r="Y592" s="10" t="s">
        <v>272</v>
      </c>
      <c r="Z592" s="3" t="s">
        <v>24</v>
      </c>
      <c r="AB592" s="39" t="s">
        <v>280</v>
      </c>
    </row>
    <row r="593" spans="1:28">
      <c r="A593" s="35">
        <v>3554</v>
      </c>
      <c r="B593" s="38" t="s">
        <v>272</v>
      </c>
      <c r="C593" s="4" t="s">
        <v>29</v>
      </c>
      <c r="D593" s="39"/>
      <c r="E593" s="39"/>
      <c r="F593" s="39"/>
      <c r="G593" s="124" t="s">
        <v>53</v>
      </c>
      <c r="H593" s="27"/>
      <c r="I593" s="27"/>
      <c r="J593" s="99"/>
      <c r="K593" s="99"/>
      <c r="N593" s="10"/>
      <c r="W593" s="1"/>
      <c r="Y593" s="10"/>
      <c r="AB593" s="39" t="s">
        <v>273</v>
      </c>
    </row>
    <row r="594" spans="1:28">
      <c r="A594" s="35">
        <v>3555</v>
      </c>
      <c r="B594" s="38" t="s">
        <v>272</v>
      </c>
      <c r="C594" s="4" t="s">
        <v>29</v>
      </c>
      <c r="D594" s="39"/>
      <c r="E594" s="39"/>
      <c r="F594" s="39"/>
      <c r="G594" s="124" t="s">
        <v>53</v>
      </c>
      <c r="H594" s="27"/>
      <c r="I594" s="27"/>
      <c r="J594" s="99"/>
      <c r="K594" s="99"/>
      <c r="L594" s="50" t="s">
        <v>26</v>
      </c>
      <c r="M594" s="11">
        <v>4167</v>
      </c>
      <c r="N594" s="10" t="s">
        <v>272</v>
      </c>
      <c r="O594" s="3" t="s">
        <v>24</v>
      </c>
      <c r="S594" s="28" t="s">
        <v>25</v>
      </c>
      <c r="T594" s="1" t="s">
        <v>31</v>
      </c>
      <c r="W594" s="106">
        <v>45509</v>
      </c>
      <c r="X594" s="11" t="s">
        <v>275</v>
      </c>
      <c r="Y594" s="10" t="s">
        <v>272</v>
      </c>
      <c r="AB594" s="39" t="s">
        <v>273</v>
      </c>
    </row>
    <row r="595" spans="1:28">
      <c r="A595" s="35">
        <v>3559</v>
      </c>
      <c r="B595" s="38" t="s">
        <v>272</v>
      </c>
      <c r="C595" s="3" t="s">
        <v>24</v>
      </c>
      <c r="D595" s="39"/>
      <c r="E595" s="39"/>
      <c r="F595" s="39"/>
      <c r="G595" s="124" t="s">
        <v>53</v>
      </c>
      <c r="H595" s="27"/>
      <c r="I595" s="27"/>
      <c r="J595" s="99"/>
      <c r="K595" s="99"/>
      <c r="N595" s="10"/>
      <c r="W595" s="1"/>
      <c r="Y595" s="10"/>
      <c r="AB595" s="39" t="s">
        <v>273</v>
      </c>
    </row>
    <row r="596" spans="1:28">
      <c r="A596" s="35">
        <v>3566</v>
      </c>
      <c r="B596" s="38" t="s">
        <v>272</v>
      </c>
      <c r="C596" s="3" t="s">
        <v>24</v>
      </c>
      <c r="D596" s="39"/>
      <c r="E596" s="39"/>
      <c r="F596" s="39"/>
      <c r="G596" s="124" t="s">
        <v>53</v>
      </c>
      <c r="H596" s="27"/>
      <c r="I596" s="27"/>
      <c r="J596" s="99"/>
      <c r="K596" s="99"/>
      <c r="L596" s="50" t="s">
        <v>34</v>
      </c>
      <c r="N596" s="10"/>
      <c r="W596" s="1"/>
      <c r="Y596" s="10"/>
      <c r="AB596" s="39" t="s">
        <v>273</v>
      </c>
    </row>
    <row r="597" spans="1:28">
      <c r="A597" s="35">
        <v>3567</v>
      </c>
      <c r="B597" s="38" t="s">
        <v>272</v>
      </c>
      <c r="C597" s="3" t="s">
        <v>24</v>
      </c>
      <c r="D597" s="39"/>
      <c r="E597" s="39"/>
      <c r="F597" s="39"/>
      <c r="G597" s="124" t="s">
        <v>53</v>
      </c>
      <c r="H597" s="27"/>
      <c r="I597" s="27"/>
      <c r="J597" s="99"/>
      <c r="K597" s="99"/>
      <c r="N597" s="10"/>
      <c r="W597" s="1"/>
      <c r="Y597" s="10"/>
      <c r="AB597" s="39" t="s">
        <v>273</v>
      </c>
    </row>
    <row r="598" spans="1:28">
      <c r="A598" s="35">
        <v>3568</v>
      </c>
      <c r="B598" s="38" t="s">
        <v>272</v>
      </c>
      <c r="C598" s="3" t="s">
        <v>24</v>
      </c>
      <c r="D598" s="39"/>
      <c r="E598" s="39"/>
      <c r="F598" s="39"/>
      <c r="G598" s="124" t="s">
        <v>53</v>
      </c>
      <c r="H598" s="27"/>
      <c r="I598" s="27"/>
      <c r="J598" s="99"/>
      <c r="K598" s="99"/>
      <c r="N598" s="10"/>
      <c r="W598" s="1"/>
      <c r="Y598" s="10"/>
      <c r="AB598" s="39" t="s">
        <v>273</v>
      </c>
    </row>
    <row r="599" spans="1:28">
      <c r="A599" s="35">
        <v>3570</v>
      </c>
      <c r="B599" s="38" t="s">
        <v>272</v>
      </c>
      <c r="C599" s="3" t="s">
        <v>24</v>
      </c>
      <c r="D599" s="39"/>
      <c r="E599" s="39"/>
      <c r="F599" s="39"/>
      <c r="G599" s="124" t="s">
        <v>53</v>
      </c>
      <c r="H599" s="27"/>
      <c r="I599" s="27"/>
      <c r="J599" s="99"/>
      <c r="K599" s="99"/>
      <c r="L599" s="50" t="s">
        <v>26</v>
      </c>
      <c r="M599" s="11">
        <v>3872</v>
      </c>
      <c r="N599" s="10" t="s">
        <v>272</v>
      </c>
      <c r="O599" s="3" t="s">
        <v>24</v>
      </c>
      <c r="S599" s="28" t="s">
        <v>25</v>
      </c>
      <c r="T599" s="1" t="s">
        <v>27</v>
      </c>
      <c r="W599" s="106">
        <v>45527</v>
      </c>
      <c r="X599" s="11" t="s">
        <v>292</v>
      </c>
      <c r="Y599" s="10" t="s">
        <v>272</v>
      </c>
      <c r="Z599" s="4" t="s">
        <v>29</v>
      </c>
      <c r="AB599" s="39" t="s">
        <v>273</v>
      </c>
    </row>
    <row r="600" spans="1:28">
      <c r="A600" s="35">
        <v>3573</v>
      </c>
      <c r="B600" s="38" t="s">
        <v>272</v>
      </c>
      <c r="C600" s="4" t="s">
        <v>29</v>
      </c>
      <c r="D600" s="39"/>
      <c r="E600" s="39"/>
      <c r="F600" s="39"/>
      <c r="G600" s="124" t="s">
        <v>53</v>
      </c>
      <c r="H600" s="27"/>
      <c r="I600" s="27"/>
      <c r="J600" s="99"/>
      <c r="K600" s="99"/>
      <c r="L600" s="50" t="s">
        <v>26</v>
      </c>
      <c r="M600" s="11">
        <v>4123</v>
      </c>
      <c r="N600" s="10" t="s">
        <v>272</v>
      </c>
      <c r="O600" s="4" t="s">
        <v>29</v>
      </c>
      <c r="S600" s="28" t="s">
        <v>25</v>
      </c>
      <c r="T600" s="1" t="s">
        <v>31</v>
      </c>
      <c r="W600" s="106">
        <v>45509</v>
      </c>
      <c r="X600" s="11" t="s">
        <v>275</v>
      </c>
      <c r="Y600" s="10" t="s">
        <v>272</v>
      </c>
      <c r="AB600" s="39" t="s">
        <v>273</v>
      </c>
    </row>
    <row r="601" spans="1:28">
      <c r="A601" s="35">
        <v>3576</v>
      </c>
      <c r="B601" s="38" t="s">
        <v>272</v>
      </c>
      <c r="C601" s="3" t="s">
        <v>24</v>
      </c>
      <c r="D601" s="39"/>
      <c r="E601" s="39"/>
      <c r="F601" s="39"/>
      <c r="G601" s="124" t="s">
        <v>53</v>
      </c>
      <c r="H601" s="27"/>
      <c r="I601" s="27"/>
      <c r="J601" s="99"/>
      <c r="K601" s="99"/>
      <c r="L601" s="50" t="s">
        <v>26</v>
      </c>
      <c r="M601" s="11">
        <v>3866</v>
      </c>
      <c r="N601" s="10" t="s">
        <v>272</v>
      </c>
      <c r="O601" s="6" t="s">
        <v>46</v>
      </c>
      <c r="S601" s="28" t="s">
        <v>25</v>
      </c>
      <c r="T601" s="1" t="s">
        <v>27</v>
      </c>
      <c r="W601" s="106">
        <v>45524</v>
      </c>
      <c r="X601" s="11" t="s">
        <v>276</v>
      </c>
      <c r="Y601" s="10" t="s">
        <v>272</v>
      </c>
      <c r="Z601" s="4" t="s">
        <v>29</v>
      </c>
      <c r="AB601" s="39" t="s">
        <v>273</v>
      </c>
    </row>
    <row r="602" spans="1:28">
      <c r="A602" s="35">
        <v>3579</v>
      </c>
      <c r="B602" s="38" t="s">
        <v>272</v>
      </c>
      <c r="C602" s="3" t="s">
        <v>24</v>
      </c>
      <c r="D602" s="39"/>
      <c r="E602" s="39"/>
      <c r="F602" s="39"/>
      <c r="G602" s="124" t="s">
        <v>53</v>
      </c>
      <c r="H602" s="27"/>
      <c r="I602" s="27"/>
      <c r="J602" s="99"/>
      <c r="K602" s="99"/>
      <c r="L602" s="50" t="s">
        <v>26</v>
      </c>
      <c r="M602" s="11">
        <v>4114</v>
      </c>
      <c r="N602" s="10" t="s">
        <v>272</v>
      </c>
      <c r="O602" s="3" t="s">
        <v>24</v>
      </c>
      <c r="S602" s="28" t="s">
        <v>25</v>
      </c>
      <c r="T602" s="1" t="s">
        <v>31</v>
      </c>
      <c r="W602" s="106">
        <v>45511</v>
      </c>
      <c r="X602" s="11" t="s">
        <v>275</v>
      </c>
      <c r="Y602" s="10" t="s">
        <v>272</v>
      </c>
      <c r="AB602" s="39" t="s">
        <v>273</v>
      </c>
    </row>
    <row r="603" spans="1:28">
      <c r="A603" s="35">
        <v>3581</v>
      </c>
      <c r="B603" s="38" t="s">
        <v>272</v>
      </c>
      <c r="C603" s="4" t="s">
        <v>29</v>
      </c>
      <c r="D603" s="39"/>
      <c r="E603" s="39"/>
      <c r="F603" s="39"/>
      <c r="G603" s="124" t="s">
        <v>53</v>
      </c>
      <c r="H603" s="27"/>
      <c r="I603" s="27"/>
      <c r="J603" s="99"/>
      <c r="K603" s="99"/>
      <c r="L603" s="50" t="s">
        <v>26</v>
      </c>
      <c r="M603" s="11">
        <v>3842</v>
      </c>
      <c r="N603" s="10" t="s">
        <v>272</v>
      </c>
      <c r="O603" s="4" t="s">
        <v>29</v>
      </c>
      <c r="S603" s="28" t="s">
        <v>25</v>
      </c>
      <c r="T603" s="1" t="s">
        <v>27</v>
      </c>
      <c r="W603" s="106">
        <v>45511</v>
      </c>
      <c r="X603" s="11" t="s">
        <v>289</v>
      </c>
      <c r="Y603" s="10" t="s">
        <v>272</v>
      </c>
      <c r="Z603" s="3" t="s">
        <v>24</v>
      </c>
      <c r="AB603" s="39" t="s">
        <v>273</v>
      </c>
    </row>
    <row r="604" spans="1:28">
      <c r="A604" s="35">
        <v>3582</v>
      </c>
      <c r="B604" s="38" t="s">
        <v>272</v>
      </c>
      <c r="C604" s="4" t="s">
        <v>29</v>
      </c>
      <c r="D604" s="39"/>
      <c r="E604" s="39"/>
      <c r="F604" s="39"/>
      <c r="G604" s="124" t="s">
        <v>53</v>
      </c>
      <c r="H604" s="27"/>
      <c r="I604" s="27"/>
      <c r="J604" s="99"/>
      <c r="K604" s="99"/>
      <c r="L604" s="50" t="s">
        <v>26</v>
      </c>
      <c r="M604" s="11">
        <v>3844</v>
      </c>
      <c r="N604" s="10" t="s">
        <v>272</v>
      </c>
      <c r="O604" s="3" t="s">
        <v>24</v>
      </c>
      <c r="S604" s="28" t="s">
        <v>25</v>
      </c>
      <c r="T604" s="1" t="s">
        <v>27</v>
      </c>
      <c r="W604" s="106">
        <v>45512</v>
      </c>
      <c r="X604" s="11" t="s">
        <v>286</v>
      </c>
      <c r="Y604" s="10" t="s">
        <v>272</v>
      </c>
      <c r="Z604" s="4" t="s">
        <v>29</v>
      </c>
      <c r="AB604" s="39" t="s">
        <v>273</v>
      </c>
    </row>
    <row r="605" spans="1:28">
      <c r="A605" s="35">
        <v>3584</v>
      </c>
      <c r="B605" s="38" t="s">
        <v>272</v>
      </c>
      <c r="C605" s="3" t="s">
        <v>24</v>
      </c>
      <c r="D605" s="39"/>
      <c r="E605" s="39"/>
      <c r="F605" s="39"/>
      <c r="G605" s="124" t="s">
        <v>53</v>
      </c>
      <c r="H605" s="27"/>
      <c r="I605" s="27"/>
      <c r="J605" s="99"/>
      <c r="K605" s="99"/>
      <c r="L605" s="50" t="s">
        <v>26</v>
      </c>
      <c r="M605" s="11">
        <v>3841</v>
      </c>
      <c r="N605" s="10" t="s">
        <v>272</v>
      </c>
      <c r="O605" s="3" t="s">
        <v>24</v>
      </c>
      <c r="S605" s="28" t="s">
        <v>25</v>
      </c>
      <c r="T605" s="1" t="s">
        <v>27</v>
      </c>
      <c r="W605" s="106">
        <v>45511</v>
      </c>
      <c r="X605" s="11" t="s">
        <v>289</v>
      </c>
      <c r="Y605" s="10" t="s">
        <v>272</v>
      </c>
      <c r="Z605" s="3" t="s">
        <v>24</v>
      </c>
      <c r="AB605" s="39" t="s">
        <v>273</v>
      </c>
    </row>
    <row r="606" spans="1:28">
      <c r="A606" s="35">
        <v>3587</v>
      </c>
      <c r="B606" s="38" t="s">
        <v>272</v>
      </c>
      <c r="C606" s="3" t="s">
        <v>24</v>
      </c>
      <c r="D606" s="39"/>
      <c r="E606" s="39"/>
      <c r="F606" s="39"/>
      <c r="G606" s="124" t="s">
        <v>53</v>
      </c>
      <c r="H606" s="27"/>
      <c r="I606" s="27"/>
      <c r="J606" s="99"/>
      <c r="K606" s="99"/>
      <c r="L606" s="50" t="s">
        <v>26</v>
      </c>
      <c r="M606" s="11">
        <v>3854</v>
      </c>
      <c r="N606" s="10" t="s">
        <v>272</v>
      </c>
      <c r="O606" s="6" t="s">
        <v>46</v>
      </c>
      <c r="S606" s="28" t="s">
        <v>25</v>
      </c>
      <c r="T606" s="1" t="s">
        <v>27</v>
      </c>
      <c r="W606" s="106">
        <v>45517</v>
      </c>
      <c r="X606" s="11" t="s">
        <v>297</v>
      </c>
      <c r="Y606" s="10" t="s">
        <v>272</v>
      </c>
      <c r="Z606" s="4" t="s">
        <v>29</v>
      </c>
      <c r="AB606" s="39" t="s">
        <v>273</v>
      </c>
    </row>
    <row r="607" spans="1:28">
      <c r="A607" s="35">
        <v>3598</v>
      </c>
      <c r="B607" s="38" t="s">
        <v>272</v>
      </c>
      <c r="C607" s="3" t="s">
        <v>24</v>
      </c>
      <c r="D607" s="39"/>
      <c r="E607" s="39"/>
      <c r="F607" s="39"/>
      <c r="G607" s="124" t="s">
        <v>53</v>
      </c>
      <c r="H607" s="27"/>
      <c r="I607" s="27"/>
      <c r="J607" s="99"/>
      <c r="K607" s="99"/>
      <c r="N607" s="10"/>
      <c r="W607" s="1"/>
      <c r="Y607" s="10"/>
      <c r="AB607" s="39" t="s">
        <v>280</v>
      </c>
    </row>
    <row r="608" spans="1:28">
      <c r="A608" s="35">
        <v>3600</v>
      </c>
      <c r="B608" s="38" t="s">
        <v>272</v>
      </c>
      <c r="C608" s="3" t="s">
        <v>24</v>
      </c>
      <c r="D608" s="39"/>
      <c r="E608" s="39"/>
      <c r="F608" s="39"/>
      <c r="G608" s="124" t="s">
        <v>53</v>
      </c>
      <c r="H608" s="27"/>
      <c r="I608" s="27"/>
      <c r="J608" s="99"/>
      <c r="K608" s="99"/>
      <c r="N608" s="10"/>
      <c r="W608" s="1"/>
      <c r="Y608" s="10"/>
      <c r="AB608" s="39" t="s">
        <v>280</v>
      </c>
    </row>
    <row r="609" spans="1:28">
      <c r="A609" s="35">
        <v>3604</v>
      </c>
      <c r="B609" s="38" t="s">
        <v>272</v>
      </c>
      <c r="C609" s="3" t="s">
        <v>24</v>
      </c>
      <c r="D609" s="39"/>
      <c r="E609" s="39"/>
      <c r="F609" s="39"/>
      <c r="G609" s="124" t="s">
        <v>53</v>
      </c>
      <c r="H609" s="27"/>
      <c r="I609" s="27"/>
      <c r="J609" s="99"/>
      <c r="K609" s="99"/>
      <c r="N609" s="10"/>
      <c r="W609" s="1"/>
      <c r="Y609" s="10"/>
      <c r="AB609" s="39" t="s">
        <v>280</v>
      </c>
    </row>
    <row r="610" spans="1:28">
      <c r="A610" s="35">
        <v>3608</v>
      </c>
      <c r="B610" s="38" t="s">
        <v>272</v>
      </c>
      <c r="C610" s="3" t="s">
        <v>24</v>
      </c>
      <c r="D610" s="39"/>
      <c r="E610" s="39"/>
      <c r="F610" s="39"/>
      <c r="G610" s="124" t="s">
        <v>53</v>
      </c>
      <c r="H610" s="27"/>
      <c r="I610" s="27"/>
      <c r="J610" s="99"/>
      <c r="K610" s="99"/>
      <c r="L610" s="50" t="s">
        <v>26</v>
      </c>
      <c r="M610" s="11">
        <v>3857</v>
      </c>
      <c r="N610" s="10" t="s">
        <v>272</v>
      </c>
      <c r="O610" s="3" t="s">
        <v>24</v>
      </c>
      <c r="S610" s="28" t="s">
        <v>25</v>
      </c>
      <c r="T610" s="1" t="s">
        <v>27</v>
      </c>
      <c r="W610" s="106">
        <v>45519</v>
      </c>
      <c r="X610" s="11" t="s">
        <v>277</v>
      </c>
      <c r="Y610" s="10" t="s">
        <v>272</v>
      </c>
      <c r="Z610" s="4" t="s">
        <v>29</v>
      </c>
      <c r="AB610" s="39" t="s">
        <v>273</v>
      </c>
    </row>
    <row r="611" spans="1:28">
      <c r="A611" s="35">
        <v>3609</v>
      </c>
      <c r="B611" s="38" t="s">
        <v>272</v>
      </c>
      <c r="C611" s="4" t="s">
        <v>29</v>
      </c>
      <c r="D611" s="39"/>
      <c r="E611" s="39"/>
      <c r="F611" s="39"/>
      <c r="G611" s="124" t="s">
        <v>53</v>
      </c>
      <c r="H611" s="27"/>
      <c r="I611" s="27"/>
      <c r="J611" s="99"/>
      <c r="K611" s="99"/>
      <c r="L611" s="50" t="s">
        <v>26</v>
      </c>
      <c r="M611" s="11">
        <v>3883</v>
      </c>
      <c r="N611" s="10" t="s">
        <v>272</v>
      </c>
      <c r="O611" s="4" t="s">
        <v>29</v>
      </c>
      <c r="S611" s="28" t="s">
        <v>25</v>
      </c>
      <c r="T611" s="1" t="s">
        <v>27</v>
      </c>
      <c r="W611" s="106">
        <v>45532</v>
      </c>
      <c r="X611" s="11" t="s">
        <v>283</v>
      </c>
      <c r="Y611" s="10" t="s">
        <v>272</v>
      </c>
      <c r="Z611" s="4" t="s">
        <v>29</v>
      </c>
      <c r="AB611" s="39" t="s">
        <v>273</v>
      </c>
    </row>
    <row r="612" spans="1:28">
      <c r="A612" s="35">
        <v>3613</v>
      </c>
      <c r="B612" s="38" t="s">
        <v>272</v>
      </c>
      <c r="C612" s="4" t="s">
        <v>29</v>
      </c>
      <c r="D612" s="39"/>
      <c r="E612" s="39"/>
      <c r="F612" s="39"/>
      <c r="G612" s="124" t="s">
        <v>53</v>
      </c>
      <c r="H612" s="27"/>
      <c r="I612" s="27"/>
      <c r="J612" s="99"/>
      <c r="K612" s="99"/>
      <c r="L612" s="50" t="s">
        <v>26</v>
      </c>
      <c r="M612" s="11">
        <v>4164</v>
      </c>
      <c r="N612" s="10" t="s">
        <v>272</v>
      </c>
      <c r="O612" s="3" t="s">
        <v>24</v>
      </c>
      <c r="S612" s="28" t="s">
        <v>25</v>
      </c>
      <c r="T612" s="1" t="s">
        <v>31</v>
      </c>
      <c r="W612" s="106">
        <v>45527</v>
      </c>
      <c r="X612" s="11" t="s">
        <v>292</v>
      </c>
      <c r="Y612" s="10" t="s">
        <v>272</v>
      </c>
      <c r="Z612" s="4" t="s">
        <v>29</v>
      </c>
      <c r="AB612" s="39" t="s">
        <v>273</v>
      </c>
    </row>
    <row r="613" spans="1:28">
      <c r="A613" s="35">
        <v>3618</v>
      </c>
      <c r="B613" s="38" t="s">
        <v>272</v>
      </c>
      <c r="C613" s="3" t="s">
        <v>24</v>
      </c>
      <c r="D613" s="39"/>
      <c r="E613" s="39"/>
      <c r="F613" s="39"/>
      <c r="G613" s="124" t="s">
        <v>53</v>
      </c>
      <c r="H613" s="27"/>
      <c r="I613" s="27"/>
      <c r="J613" s="99"/>
      <c r="K613" s="99"/>
      <c r="L613" s="50" t="s">
        <v>26</v>
      </c>
      <c r="M613" s="11">
        <v>4180</v>
      </c>
      <c r="N613" s="10" t="s">
        <v>272</v>
      </c>
      <c r="O613" s="3" t="s">
        <v>24</v>
      </c>
      <c r="S613" s="28" t="s">
        <v>25</v>
      </c>
      <c r="T613" s="1" t="s">
        <v>31</v>
      </c>
      <c r="W613" s="106">
        <v>45511</v>
      </c>
      <c r="X613" s="11" t="s">
        <v>275</v>
      </c>
      <c r="Y613" s="10" t="s">
        <v>272</v>
      </c>
      <c r="AB613" s="39" t="s">
        <v>273</v>
      </c>
    </row>
    <row r="614" spans="1:28">
      <c r="A614" s="35">
        <v>3619</v>
      </c>
      <c r="B614" s="38" t="s">
        <v>272</v>
      </c>
      <c r="C614" s="4" t="s">
        <v>29</v>
      </c>
      <c r="D614" s="39"/>
      <c r="E614" s="39"/>
      <c r="F614" s="39"/>
      <c r="G614" s="124" t="s">
        <v>53</v>
      </c>
      <c r="H614" s="27"/>
      <c r="I614" s="27"/>
      <c r="J614" s="99"/>
      <c r="K614" s="99"/>
      <c r="L614" s="50" t="s">
        <v>26</v>
      </c>
      <c r="M614" s="11">
        <v>3830</v>
      </c>
      <c r="N614" s="10" t="s">
        <v>272</v>
      </c>
      <c r="O614" s="4" t="s">
        <v>29</v>
      </c>
      <c r="S614" s="28" t="s">
        <v>25</v>
      </c>
      <c r="T614" s="1" t="s">
        <v>27</v>
      </c>
      <c r="W614" s="106">
        <v>45505</v>
      </c>
      <c r="X614" s="11" t="s">
        <v>275</v>
      </c>
      <c r="Y614" s="10" t="s">
        <v>272</v>
      </c>
      <c r="AB614" s="39" t="s">
        <v>273</v>
      </c>
    </row>
    <row r="615" spans="1:28">
      <c r="A615" s="35">
        <v>3622</v>
      </c>
      <c r="B615" s="38" t="s">
        <v>272</v>
      </c>
      <c r="C615" s="3" t="s">
        <v>24</v>
      </c>
      <c r="D615" s="39"/>
      <c r="E615" s="39"/>
      <c r="F615" s="39"/>
      <c r="G615" s="124" t="s">
        <v>53</v>
      </c>
      <c r="H615" s="27"/>
      <c r="I615" s="27"/>
      <c r="J615" s="99"/>
      <c r="K615" s="99"/>
      <c r="L615" s="50" t="s">
        <v>26</v>
      </c>
      <c r="M615" s="11">
        <v>3868</v>
      </c>
      <c r="N615" s="10" t="s">
        <v>272</v>
      </c>
      <c r="S615" s="28" t="s">
        <v>25</v>
      </c>
      <c r="T615" s="1" t="s">
        <v>27</v>
      </c>
      <c r="W615" s="106">
        <v>45524</v>
      </c>
      <c r="X615" s="11" t="s">
        <v>276</v>
      </c>
      <c r="Y615" s="10" t="s">
        <v>272</v>
      </c>
      <c r="Z615" s="4" t="s">
        <v>29</v>
      </c>
      <c r="AB615" s="39" t="s">
        <v>273</v>
      </c>
    </row>
    <row r="616" spans="1:28">
      <c r="A616" s="35">
        <v>3623</v>
      </c>
      <c r="B616" s="38" t="s">
        <v>272</v>
      </c>
      <c r="C616" s="3" t="s">
        <v>24</v>
      </c>
      <c r="D616" s="39"/>
      <c r="E616" s="39"/>
      <c r="F616" s="39"/>
      <c r="G616" s="124" t="s">
        <v>53</v>
      </c>
      <c r="H616" s="27"/>
      <c r="I616" s="27"/>
      <c r="J616" s="99"/>
      <c r="K616" s="99"/>
      <c r="L616" s="50" t="s">
        <v>26</v>
      </c>
      <c r="M616" s="11">
        <v>3840</v>
      </c>
      <c r="N616" s="10" t="s">
        <v>272</v>
      </c>
      <c r="O616" s="3" t="s">
        <v>24</v>
      </c>
      <c r="S616" s="28" t="s">
        <v>25</v>
      </c>
      <c r="T616" s="1" t="s">
        <v>27</v>
      </c>
      <c r="W616" s="106">
        <v>45510</v>
      </c>
      <c r="X616" s="11" t="s">
        <v>298</v>
      </c>
      <c r="Y616" s="10" t="s">
        <v>272</v>
      </c>
      <c r="Z616" s="4" t="s">
        <v>29</v>
      </c>
      <c r="AB616" s="39" t="s">
        <v>273</v>
      </c>
    </row>
    <row r="617" spans="1:28">
      <c r="A617" s="35">
        <v>3626</v>
      </c>
      <c r="B617" s="38" t="s">
        <v>272</v>
      </c>
      <c r="C617" s="3" t="s">
        <v>24</v>
      </c>
      <c r="D617" s="39"/>
      <c r="E617" s="39"/>
      <c r="F617" s="39"/>
      <c r="G617" s="124" t="s">
        <v>53</v>
      </c>
      <c r="H617" s="27"/>
      <c r="I617" s="27"/>
      <c r="J617" s="99"/>
      <c r="K617" s="99"/>
      <c r="N617" s="10"/>
      <c r="W617" s="1"/>
      <c r="Y617" s="10"/>
      <c r="AB617" s="39" t="s">
        <v>273</v>
      </c>
    </row>
    <row r="618" spans="1:28">
      <c r="A618" s="35">
        <v>3627</v>
      </c>
      <c r="B618" s="38" t="s">
        <v>272</v>
      </c>
      <c r="C618" s="4" t="s">
        <v>29</v>
      </c>
      <c r="D618" s="39"/>
      <c r="E618" s="39"/>
      <c r="F618" s="39"/>
      <c r="G618" s="124" t="s">
        <v>53</v>
      </c>
      <c r="H618" s="27"/>
      <c r="I618" s="27"/>
      <c r="J618" s="99"/>
      <c r="K618" s="99"/>
      <c r="N618" s="10"/>
      <c r="W618" s="1"/>
      <c r="Y618" s="10"/>
      <c r="AB618" s="39" t="s">
        <v>280</v>
      </c>
    </row>
    <row r="619" spans="1:28">
      <c r="A619" s="35">
        <v>3628</v>
      </c>
      <c r="B619" s="38" t="s">
        <v>272</v>
      </c>
      <c r="C619" s="4" t="s">
        <v>29</v>
      </c>
      <c r="D619" s="39"/>
      <c r="E619" s="39"/>
      <c r="F619" s="39"/>
      <c r="G619" s="124" t="s">
        <v>53</v>
      </c>
      <c r="H619" s="27"/>
      <c r="I619" s="27"/>
      <c r="J619" s="99"/>
      <c r="K619" s="99"/>
      <c r="L619" s="50" t="s">
        <v>26</v>
      </c>
      <c r="M619" s="11">
        <v>4201</v>
      </c>
      <c r="N619" s="10" t="s">
        <v>272</v>
      </c>
      <c r="O619" s="6" t="s">
        <v>46</v>
      </c>
      <c r="S619" s="28" t="s">
        <v>25</v>
      </c>
      <c r="T619" s="1" t="s">
        <v>31</v>
      </c>
      <c r="W619" s="106">
        <v>45529</v>
      </c>
      <c r="X619" s="11" t="s">
        <v>299</v>
      </c>
      <c r="Y619" s="10" t="s">
        <v>272</v>
      </c>
      <c r="Z619" s="4" t="s">
        <v>29</v>
      </c>
      <c r="AB619" s="39" t="s">
        <v>273</v>
      </c>
    </row>
    <row r="620" spans="1:28">
      <c r="A620" s="35">
        <v>13309</v>
      </c>
      <c r="B620" s="38" t="s">
        <v>272</v>
      </c>
      <c r="C620" s="3" t="s">
        <v>24</v>
      </c>
      <c r="D620" s="39"/>
      <c r="E620" s="39"/>
      <c r="F620" s="39"/>
      <c r="G620" s="124" t="s">
        <v>53</v>
      </c>
      <c r="H620" s="27"/>
      <c r="I620" s="27"/>
      <c r="J620" s="99"/>
      <c r="K620" s="99"/>
      <c r="L620" s="50" t="s">
        <v>26</v>
      </c>
      <c r="M620" s="11">
        <v>4149</v>
      </c>
      <c r="N620" s="10" t="s">
        <v>272</v>
      </c>
      <c r="O620" s="3" t="s">
        <v>24</v>
      </c>
      <c r="S620" s="28" t="s">
        <v>25</v>
      </c>
      <c r="T620" s="1" t="s">
        <v>27</v>
      </c>
      <c r="W620" s="106">
        <v>45516</v>
      </c>
      <c r="X620" s="11" t="s">
        <v>296</v>
      </c>
      <c r="Y620" s="10" t="s">
        <v>272</v>
      </c>
      <c r="Z620" s="3" t="s">
        <v>24</v>
      </c>
      <c r="AB620" s="39" t="s">
        <v>273</v>
      </c>
    </row>
    <row r="621" spans="1:28">
      <c r="A621" s="35" t="s">
        <v>300</v>
      </c>
      <c r="B621" s="38" t="s">
        <v>272</v>
      </c>
      <c r="C621" s="4" t="s">
        <v>29</v>
      </c>
      <c r="D621" s="97"/>
      <c r="E621" s="97"/>
      <c r="F621" s="97"/>
      <c r="G621" s="124" t="s">
        <v>53</v>
      </c>
      <c r="H621" s="27"/>
      <c r="I621" s="27"/>
      <c r="J621" s="99"/>
      <c r="K621" s="99"/>
      <c r="M621" s="36"/>
      <c r="N621" s="10"/>
      <c r="U621" s="106"/>
      <c r="V621" s="106"/>
      <c r="W621" s="106"/>
      <c r="Y621" s="10"/>
    </row>
    <row r="622" spans="1:28">
      <c r="A622" s="35">
        <v>3614</v>
      </c>
      <c r="B622" s="38" t="s">
        <v>272</v>
      </c>
      <c r="C622" s="39"/>
      <c r="D622" s="39"/>
      <c r="E622" s="39"/>
      <c r="F622" s="39"/>
      <c r="G622" s="54" t="s">
        <v>53</v>
      </c>
      <c r="H622" s="27"/>
      <c r="I622" s="27"/>
      <c r="J622" s="99"/>
      <c r="K622" s="99"/>
      <c r="L622" s="100"/>
      <c r="M622" s="36"/>
      <c r="N622" s="10"/>
      <c r="U622" s="106"/>
      <c r="V622" s="106"/>
      <c r="W622" s="106"/>
      <c r="Y622" s="10"/>
    </row>
    <row r="623" spans="1:28">
      <c r="A623" s="35">
        <v>3490</v>
      </c>
      <c r="B623" s="38" t="s">
        <v>272</v>
      </c>
      <c r="C623" s="39"/>
      <c r="D623" s="39"/>
      <c r="E623" s="39"/>
      <c r="F623" s="39"/>
      <c r="G623" s="54" t="s">
        <v>53</v>
      </c>
      <c r="H623" s="27"/>
      <c r="I623" s="27"/>
      <c r="J623" s="99"/>
      <c r="K623" s="99"/>
      <c r="L623" s="50" t="s">
        <v>26</v>
      </c>
      <c r="M623" s="36">
        <v>3836</v>
      </c>
      <c r="N623" s="10" t="s">
        <v>272</v>
      </c>
      <c r="O623" s="4" t="s">
        <v>29</v>
      </c>
      <c r="S623" s="28" t="s">
        <v>25</v>
      </c>
      <c r="T623" s="1" t="s">
        <v>27</v>
      </c>
      <c r="U623" s="106"/>
      <c r="V623" s="106"/>
      <c r="W623" s="106">
        <v>45507</v>
      </c>
      <c r="X623" s="11" t="s">
        <v>275</v>
      </c>
      <c r="Y623" s="10" t="s">
        <v>272</v>
      </c>
    </row>
    <row r="624" spans="1:28">
      <c r="A624" s="35">
        <v>3617</v>
      </c>
      <c r="B624" s="38" t="s">
        <v>272</v>
      </c>
      <c r="C624" s="39"/>
      <c r="D624" s="39"/>
      <c r="E624" s="39"/>
      <c r="F624" s="39"/>
      <c r="G624" s="54" t="s">
        <v>53</v>
      </c>
      <c r="H624" s="27"/>
      <c r="I624" s="27"/>
      <c r="J624" s="99"/>
      <c r="K624" s="99"/>
      <c r="L624" s="50" t="s">
        <v>26</v>
      </c>
      <c r="M624" s="36">
        <v>3829</v>
      </c>
      <c r="N624" s="10" t="s">
        <v>272</v>
      </c>
      <c r="O624" s="3" t="s">
        <v>24</v>
      </c>
      <c r="S624" s="28" t="s">
        <v>25</v>
      </c>
      <c r="T624" s="1" t="s">
        <v>27</v>
      </c>
      <c r="U624" s="106"/>
      <c r="V624" s="106"/>
      <c r="W624" s="106">
        <v>45505</v>
      </c>
      <c r="X624" s="11" t="s">
        <v>275</v>
      </c>
      <c r="Y624" s="10" t="s">
        <v>272</v>
      </c>
    </row>
    <row r="625" spans="1:28">
      <c r="A625" s="35">
        <v>3556</v>
      </c>
      <c r="B625" s="38" t="s">
        <v>272</v>
      </c>
      <c r="C625" s="39"/>
      <c r="D625" s="39"/>
      <c r="E625" s="39"/>
      <c r="F625" s="39"/>
      <c r="G625" s="54" t="s">
        <v>53</v>
      </c>
      <c r="H625" s="27"/>
      <c r="I625" s="27"/>
      <c r="J625" s="99"/>
      <c r="K625" s="99"/>
      <c r="L625" s="50" t="s">
        <v>26</v>
      </c>
      <c r="M625" s="36">
        <v>3831</v>
      </c>
      <c r="N625" s="10" t="s">
        <v>272</v>
      </c>
      <c r="O625" s="3" t="s">
        <v>24</v>
      </c>
      <c r="S625" s="28" t="s">
        <v>25</v>
      </c>
      <c r="T625" s="1" t="s">
        <v>27</v>
      </c>
      <c r="U625" s="106"/>
      <c r="V625" s="106"/>
      <c r="W625" s="106">
        <v>45505</v>
      </c>
      <c r="X625" s="11" t="s">
        <v>275</v>
      </c>
      <c r="Y625" s="10" t="s">
        <v>272</v>
      </c>
    </row>
    <row r="626" spans="1:28">
      <c r="A626" s="35">
        <v>4984</v>
      </c>
      <c r="B626" s="38" t="s">
        <v>272</v>
      </c>
      <c r="C626" s="39"/>
      <c r="D626" s="39"/>
      <c r="E626" s="39"/>
      <c r="F626" s="39"/>
      <c r="G626" s="54" t="s">
        <v>53</v>
      </c>
      <c r="H626" s="27"/>
      <c r="I626" s="27"/>
      <c r="J626" s="99"/>
      <c r="K626" s="99"/>
      <c r="L626" s="100"/>
      <c r="M626" s="40"/>
      <c r="N626" s="10"/>
      <c r="W626" s="1"/>
      <c r="X626" s="10"/>
      <c r="Y626" s="10"/>
    </row>
    <row r="627" spans="1:28">
      <c r="AB627" s="130"/>
    </row>
    <row r="628" spans="1:28">
      <c r="AB628" s="130"/>
    </row>
    <row r="629" spans="1:28">
      <c r="AB629" s="130"/>
    </row>
    <row r="630" spans="1:28">
      <c r="AB630" s="130"/>
    </row>
    <row r="631" spans="1:28">
      <c r="AB631" s="130"/>
    </row>
    <row r="632" spans="1:28">
      <c r="AB632" s="130"/>
    </row>
    <row r="633" spans="1:28">
      <c r="AB633" s="130"/>
    </row>
    <row r="634" spans="1:28">
      <c r="AB634" s="130"/>
    </row>
    <row r="635" spans="1:28">
      <c r="AB635" s="130"/>
    </row>
    <row r="636" spans="1:28">
      <c r="AB636" s="130"/>
    </row>
    <row r="637" spans="1:28">
      <c r="AB637" s="130"/>
    </row>
    <row r="638" spans="1:28">
      <c r="AB638" s="130"/>
    </row>
    <row r="639" spans="1:28">
      <c r="AB639" s="130"/>
    </row>
    <row r="640" spans="1:28">
      <c r="AB640" s="130"/>
    </row>
    <row r="641" spans="28:28">
      <c r="AB641" s="130"/>
    </row>
    <row r="642" spans="28:28">
      <c r="AB642" s="130"/>
    </row>
    <row r="643" spans="28:28">
      <c r="AB643" s="130"/>
    </row>
    <row r="644" spans="28:28">
      <c r="AB644" s="130"/>
    </row>
    <row r="645" spans="28:28">
      <c r="AB645" s="130"/>
    </row>
    <row r="646" spans="28:28">
      <c r="AB646" s="130"/>
    </row>
    <row r="647" spans="28:28">
      <c r="AB647" s="130"/>
    </row>
    <row r="648" spans="28:28">
      <c r="AB648" s="130"/>
    </row>
    <row r="649" spans="28:28">
      <c r="AB649" s="130"/>
    </row>
    <row r="650" spans="28:28">
      <c r="AB650" s="130"/>
    </row>
    <row r="651" spans="28:28">
      <c r="AB651" s="130"/>
    </row>
    <row r="652" spans="28:28">
      <c r="AB652" s="130"/>
    </row>
    <row r="653" spans="28:28">
      <c r="AB653" s="130"/>
    </row>
    <row r="654" spans="28:28">
      <c r="AB654" s="130"/>
    </row>
    <row r="655" spans="28:28">
      <c r="AB655" s="130"/>
    </row>
    <row r="656" spans="28:28">
      <c r="AB656" s="130"/>
    </row>
    <row r="657" spans="28:28">
      <c r="AB657" s="130"/>
    </row>
    <row r="658" spans="28:28">
      <c r="AB658" s="130"/>
    </row>
    <row r="659" spans="28:28">
      <c r="AB659" s="130"/>
    </row>
    <row r="660" spans="28:28">
      <c r="AB660" s="130"/>
    </row>
    <row r="661" spans="28:28">
      <c r="AB661" s="130"/>
    </row>
    <row r="662" spans="28:28">
      <c r="AB662" s="130"/>
    </row>
    <row r="663" spans="28:28">
      <c r="AB663" s="130"/>
    </row>
    <row r="664" spans="28:28">
      <c r="AB664" s="130"/>
    </row>
    <row r="665" spans="28:28">
      <c r="AB665" s="130"/>
    </row>
    <row r="666" spans="28:28">
      <c r="AB666" s="130"/>
    </row>
    <row r="667" spans="28:28">
      <c r="AB667" s="130"/>
    </row>
    <row r="668" spans="28:28">
      <c r="AB668" s="130"/>
    </row>
    <row r="669" spans="28:28">
      <c r="AB669" s="130"/>
    </row>
    <row r="670" spans="28:28">
      <c r="AB670" s="130"/>
    </row>
    <row r="671" spans="28:28">
      <c r="AB671" s="130"/>
    </row>
  </sheetData>
  <autoFilter ref="A173:AK280" xr:uid="{D00B23A2-3902-4484-8762-475BC0813C81}"/>
  <mergeCells count="62">
    <mergeCell ref="U1:V2"/>
    <mergeCell ref="F278:F279"/>
    <mergeCell ref="G278:G279"/>
    <mergeCell ref="H278:H279"/>
    <mergeCell ref="I278:I279"/>
    <mergeCell ref="L278:L279"/>
    <mergeCell ref="F255:F256"/>
    <mergeCell ref="A278:A279"/>
    <mergeCell ref="B278:B279"/>
    <mergeCell ref="C278:C279"/>
    <mergeCell ref="D278:D279"/>
    <mergeCell ref="E278:E279"/>
    <mergeCell ref="AB1:AB3"/>
    <mergeCell ref="H1:H3"/>
    <mergeCell ref="I1:I3"/>
    <mergeCell ref="O1:R1"/>
    <mergeCell ref="T1:T3"/>
    <mergeCell ref="Z1:AA2"/>
    <mergeCell ref="O2:P2"/>
    <mergeCell ref="Q2:R2"/>
    <mergeCell ref="X1:X3"/>
    <mergeCell ref="N1:N3"/>
    <mergeCell ref="Y1:Y3"/>
    <mergeCell ref="S1:S3"/>
    <mergeCell ref="M1:M3"/>
    <mergeCell ref="W1:W3"/>
    <mergeCell ref="L1:L3"/>
    <mergeCell ref="J1:K2"/>
    <mergeCell ref="A255:A256"/>
    <mergeCell ref="B255:B256"/>
    <mergeCell ref="C255:C256"/>
    <mergeCell ref="A1:A3"/>
    <mergeCell ref="B1:B3"/>
    <mergeCell ref="C1:F1"/>
    <mergeCell ref="E2:F2"/>
    <mergeCell ref="C2:D2"/>
    <mergeCell ref="H368:H369"/>
    <mergeCell ref="I368:I369"/>
    <mergeCell ref="L368:L369"/>
    <mergeCell ref="G1:G3"/>
    <mergeCell ref="A368:A369"/>
    <mergeCell ref="C368:C369"/>
    <mergeCell ref="D368:D369"/>
    <mergeCell ref="E368:E369"/>
    <mergeCell ref="F368:F369"/>
    <mergeCell ref="G368:G369"/>
    <mergeCell ref="G255:G256"/>
    <mergeCell ref="H255:H256"/>
    <mergeCell ref="I255:I256"/>
    <mergeCell ref="L255:L256"/>
    <mergeCell ref="D255:D256"/>
    <mergeCell ref="E255:E256"/>
    <mergeCell ref="H512:H513"/>
    <mergeCell ref="I512:I513"/>
    <mergeCell ref="L512:L513"/>
    <mergeCell ref="A512:A513"/>
    <mergeCell ref="B512:B513"/>
    <mergeCell ref="C512:C513"/>
    <mergeCell ref="D512:D513"/>
    <mergeCell ref="G512:G513"/>
    <mergeCell ref="E512:E513"/>
    <mergeCell ref="F512:F513"/>
  </mergeCells>
  <phoneticPr fontId="6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B2AF0-FB8E-4C22-847F-7F94913EB379}">
  <dimension ref="A1:M20"/>
  <sheetViews>
    <sheetView workbookViewId="0">
      <selection activeCell="H20" sqref="H20"/>
    </sheetView>
  </sheetViews>
  <sheetFormatPr defaultRowHeight="14.1"/>
  <cols>
    <col min="1" max="1" width="38.5" customWidth="1"/>
    <col min="11" max="11" width="34.375" customWidth="1"/>
    <col min="12" max="12" width="23.125" customWidth="1"/>
  </cols>
  <sheetData>
    <row r="1" spans="1:13" ht="14.45" thickBot="1">
      <c r="A1" s="42" t="s">
        <v>301</v>
      </c>
      <c r="B1" s="42" t="s">
        <v>251</v>
      </c>
      <c r="C1" s="42" t="s">
        <v>302</v>
      </c>
      <c r="D1" s="42" t="s">
        <v>272</v>
      </c>
      <c r="E1" s="42" t="s">
        <v>303</v>
      </c>
      <c r="F1" s="42" t="s">
        <v>304</v>
      </c>
      <c r="G1" s="42" t="s">
        <v>54</v>
      </c>
      <c r="H1" s="42" t="s">
        <v>305</v>
      </c>
      <c r="J1" s="70" t="s">
        <v>306</v>
      </c>
      <c r="K1" s="71" t="s">
        <v>307</v>
      </c>
      <c r="L1" s="72" t="s">
        <v>301</v>
      </c>
    </row>
    <row r="2" spans="1:13">
      <c r="A2" s="43" t="s">
        <v>308</v>
      </c>
      <c r="B2" s="1">
        <v>182</v>
      </c>
      <c r="C2" s="1">
        <v>490</v>
      </c>
      <c r="D2" s="1">
        <v>285</v>
      </c>
      <c r="E2" s="1">
        <v>35</v>
      </c>
      <c r="F2" s="1"/>
      <c r="G2" s="1">
        <v>160</v>
      </c>
      <c r="H2" s="4">
        <f>SUM(B2:G2)</f>
        <v>1152</v>
      </c>
      <c r="I2" t="s">
        <v>309</v>
      </c>
      <c r="J2" s="73" t="s">
        <v>310</v>
      </c>
      <c r="K2" s="74" t="s">
        <v>311</v>
      </c>
      <c r="L2" s="75" t="s">
        <v>312</v>
      </c>
    </row>
    <row r="3" spans="1:13">
      <c r="A3" s="43" t="s">
        <v>313</v>
      </c>
      <c r="B3" s="1">
        <v>148</v>
      </c>
      <c r="C3" s="1">
        <v>105</v>
      </c>
      <c r="D3" s="1">
        <v>161</v>
      </c>
      <c r="E3" s="1">
        <v>36</v>
      </c>
      <c r="F3" s="1"/>
      <c r="G3" s="1">
        <v>132</v>
      </c>
      <c r="H3" s="4">
        <v>614</v>
      </c>
      <c r="J3" s="76" t="s">
        <v>314</v>
      </c>
      <c r="K3" s="77" t="s">
        <v>315</v>
      </c>
      <c r="L3" s="78">
        <f>H16</f>
        <v>0.43155694879832812</v>
      </c>
    </row>
    <row r="4" spans="1:13">
      <c r="A4" s="43" t="s">
        <v>316</v>
      </c>
      <c r="B4" s="1">
        <v>139</v>
      </c>
      <c r="C4" s="1">
        <v>101</v>
      </c>
      <c r="D4" s="1">
        <v>84</v>
      </c>
      <c r="E4" s="1">
        <v>17</v>
      </c>
      <c r="F4" s="1"/>
      <c r="G4" s="1">
        <v>72</v>
      </c>
      <c r="H4" s="4">
        <f t="shared" ref="H4:H12" si="0">SUM(B4:G4)</f>
        <v>413</v>
      </c>
      <c r="J4" s="73" t="s">
        <v>317</v>
      </c>
      <c r="K4" s="74" t="s">
        <v>318</v>
      </c>
      <c r="L4" s="86">
        <v>0.3</v>
      </c>
    </row>
    <row r="5" spans="1:13">
      <c r="A5" s="43" t="s">
        <v>319</v>
      </c>
      <c r="B5" s="1">
        <v>49</v>
      </c>
      <c r="C5" s="1">
        <v>64</v>
      </c>
      <c r="D5" s="1">
        <v>50</v>
      </c>
      <c r="E5" s="1">
        <v>16</v>
      </c>
      <c r="F5" s="1"/>
      <c r="G5" s="1">
        <v>52</v>
      </c>
      <c r="H5" s="4">
        <f>SUM(B5:G5)</f>
        <v>231</v>
      </c>
      <c r="J5" s="76" t="s">
        <v>320</v>
      </c>
      <c r="K5" s="77" t="s">
        <v>321</v>
      </c>
      <c r="L5" s="78">
        <f>H17</f>
        <v>5.1948051948051951E-2</v>
      </c>
    </row>
    <row r="6" spans="1:13">
      <c r="A6" s="43" t="s">
        <v>322</v>
      </c>
      <c r="B6" s="1">
        <v>57</v>
      </c>
      <c r="C6" s="1">
        <v>39</v>
      </c>
      <c r="D6" s="1">
        <v>54</v>
      </c>
      <c r="E6" s="1">
        <v>1</v>
      </c>
      <c r="F6" s="1"/>
      <c r="G6" s="1">
        <v>19</v>
      </c>
      <c r="H6" s="4">
        <f t="shared" ref="H6:H7" si="1">SUM(B6:G6)</f>
        <v>170</v>
      </c>
      <c r="J6" s="73" t="s">
        <v>323</v>
      </c>
      <c r="K6" s="74" t="s">
        <v>324</v>
      </c>
      <c r="L6" s="79">
        <f>H18</f>
        <v>0.16470588235294117</v>
      </c>
    </row>
    <row r="7" spans="1:13">
      <c r="A7" s="43" t="s">
        <v>325</v>
      </c>
      <c r="B7" s="1">
        <v>1</v>
      </c>
      <c r="C7" s="1">
        <v>2</v>
      </c>
      <c r="D7" s="1">
        <v>4</v>
      </c>
      <c r="E7" s="1">
        <v>2</v>
      </c>
      <c r="F7" s="1"/>
      <c r="G7" s="1">
        <v>3</v>
      </c>
      <c r="H7" s="4">
        <f t="shared" si="1"/>
        <v>12</v>
      </c>
      <c r="J7" s="76" t="s">
        <v>326</v>
      </c>
      <c r="K7" s="77" t="s">
        <v>327</v>
      </c>
      <c r="L7" s="78">
        <f>H19</f>
        <v>0.15261044176706828</v>
      </c>
    </row>
    <row r="8" spans="1:13">
      <c r="A8" s="43" t="s">
        <v>328</v>
      </c>
      <c r="B8" s="1">
        <v>4</v>
      </c>
      <c r="C8" s="1">
        <v>4</v>
      </c>
      <c r="D8" s="1">
        <v>19</v>
      </c>
      <c r="E8" s="1">
        <v>0</v>
      </c>
      <c r="F8" s="1"/>
      <c r="G8" s="1">
        <v>1</v>
      </c>
      <c r="H8" s="4">
        <f t="shared" si="0"/>
        <v>28</v>
      </c>
      <c r="J8" s="73" t="s">
        <v>329</v>
      </c>
      <c r="K8" s="74" t="s">
        <v>330</v>
      </c>
      <c r="L8" s="79">
        <f>'VHT Adj.'!I15</f>
        <v>0.58526735204916081</v>
      </c>
    </row>
    <row r="9" spans="1:13">
      <c r="A9" s="43" t="s">
        <v>331</v>
      </c>
      <c r="B9" s="1">
        <v>11</v>
      </c>
      <c r="C9" s="1">
        <v>9</v>
      </c>
      <c r="D9" s="1">
        <v>10</v>
      </c>
      <c r="E9" s="1">
        <v>0</v>
      </c>
      <c r="F9" s="1"/>
      <c r="G9" s="1">
        <v>8</v>
      </c>
      <c r="H9" s="4">
        <f t="shared" si="0"/>
        <v>38</v>
      </c>
      <c r="J9" s="76" t="s">
        <v>332</v>
      </c>
      <c r="K9" s="77" t="s">
        <v>333</v>
      </c>
      <c r="L9" s="80">
        <v>2.8000000000000001E-2</v>
      </c>
      <c r="M9" t="s">
        <v>309</v>
      </c>
    </row>
    <row r="10" spans="1:13">
      <c r="A10" s="43" t="s">
        <v>334</v>
      </c>
      <c r="B10" s="1">
        <v>58</v>
      </c>
      <c r="C10" s="1">
        <v>81</v>
      </c>
      <c r="D10" s="1">
        <v>45</v>
      </c>
      <c r="E10" s="1">
        <v>15</v>
      </c>
      <c r="F10" s="1"/>
      <c r="G10" s="1">
        <v>50</v>
      </c>
      <c r="H10" s="4">
        <f t="shared" si="0"/>
        <v>249</v>
      </c>
      <c r="J10" s="73" t="s">
        <v>335</v>
      </c>
      <c r="K10" s="74" t="s">
        <v>336</v>
      </c>
      <c r="L10" s="79">
        <v>0.02</v>
      </c>
      <c r="M10" t="s">
        <v>337</v>
      </c>
    </row>
    <row r="11" spans="1:13">
      <c r="A11" s="43" t="s">
        <v>338</v>
      </c>
      <c r="B11" s="1">
        <v>33</v>
      </c>
      <c r="C11" s="1">
        <v>9</v>
      </c>
      <c r="D11" s="1">
        <v>24</v>
      </c>
      <c r="E11" s="1">
        <v>1</v>
      </c>
      <c r="F11" s="1"/>
      <c r="G11" s="1">
        <v>4</v>
      </c>
      <c r="H11" s="94">
        <f t="shared" si="0"/>
        <v>71</v>
      </c>
      <c r="J11" s="76" t="s">
        <v>339</v>
      </c>
      <c r="K11" s="77" t="s">
        <v>340</v>
      </c>
      <c r="L11" s="81">
        <v>9.5000000000000001E-2</v>
      </c>
      <c r="M11" t="s">
        <v>309</v>
      </c>
    </row>
    <row r="12" spans="1:13">
      <c r="A12" s="43" t="s">
        <v>341</v>
      </c>
      <c r="B12" s="1">
        <v>78</v>
      </c>
      <c r="C12" s="1">
        <v>21</v>
      </c>
      <c r="D12" s="1">
        <v>39</v>
      </c>
      <c r="E12" s="1">
        <v>1</v>
      </c>
      <c r="F12" s="1"/>
      <c r="G12" s="1">
        <v>13</v>
      </c>
      <c r="H12" s="4">
        <f t="shared" si="0"/>
        <v>152</v>
      </c>
      <c r="J12" s="73" t="s">
        <v>342</v>
      </c>
      <c r="K12" s="74" t="s">
        <v>343</v>
      </c>
      <c r="L12" s="79" t="s">
        <v>344</v>
      </c>
      <c r="M12" t="s">
        <v>309</v>
      </c>
    </row>
    <row r="13" spans="1:13">
      <c r="A13" s="45"/>
      <c r="B13" s="45"/>
      <c r="C13" s="45"/>
      <c r="D13" s="45"/>
      <c r="E13" s="45"/>
      <c r="F13" s="45"/>
      <c r="G13" s="45"/>
      <c r="H13" s="45"/>
      <c r="J13" s="76" t="s">
        <v>345</v>
      </c>
      <c r="K13" s="77" t="s">
        <v>346</v>
      </c>
      <c r="L13" s="78">
        <v>0.7</v>
      </c>
      <c r="M13" t="s">
        <v>309</v>
      </c>
    </row>
    <row r="14" spans="1:13">
      <c r="A14" s="43" t="s">
        <v>347</v>
      </c>
      <c r="B14" s="46">
        <f t="shared" ref="B14:E15" si="2">B3/B2</f>
        <v>0.81318681318681318</v>
      </c>
      <c r="C14" s="46">
        <f t="shared" si="2"/>
        <v>0.21428571428571427</v>
      </c>
      <c r="D14" s="46">
        <f t="shared" si="2"/>
        <v>0.56491228070175437</v>
      </c>
      <c r="E14" s="46">
        <f t="shared" si="2"/>
        <v>1.0285714285714285</v>
      </c>
      <c r="F14" s="46"/>
      <c r="G14" s="46">
        <f>G3/G2</f>
        <v>0.82499999999999996</v>
      </c>
      <c r="H14" s="47">
        <f>H3/957</f>
        <v>0.64158829676071061</v>
      </c>
      <c r="J14" s="73" t="s">
        <v>348</v>
      </c>
      <c r="K14" s="74" t="s">
        <v>349</v>
      </c>
      <c r="L14" s="82">
        <v>0.98899999999999999</v>
      </c>
      <c r="M14" t="s">
        <v>309</v>
      </c>
    </row>
    <row r="15" spans="1:13">
      <c r="A15" s="43" t="s">
        <v>350</v>
      </c>
      <c r="B15" s="46">
        <f t="shared" si="2"/>
        <v>0.93918918918918914</v>
      </c>
      <c r="C15" s="46">
        <f t="shared" si="2"/>
        <v>0.96190476190476193</v>
      </c>
      <c r="D15" s="46">
        <f t="shared" si="2"/>
        <v>0.52173913043478259</v>
      </c>
      <c r="E15" s="46">
        <f t="shared" si="2"/>
        <v>0.47222222222222221</v>
      </c>
      <c r="F15" s="46"/>
      <c r="G15" s="46">
        <f>G4/G3</f>
        <v>0.54545454545454541</v>
      </c>
      <c r="H15" s="47">
        <f>H4/H3</f>
        <v>0.67263843648208466</v>
      </c>
      <c r="J15" s="83" t="s">
        <v>351</v>
      </c>
      <c r="K15" s="84" t="s">
        <v>352</v>
      </c>
      <c r="L15" s="85">
        <v>0.996</v>
      </c>
      <c r="M15" t="s">
        <v>309</v>
      </c>
    </row>
    <row r="16" spans="1:13">
      <c r="A16" s="44" t="s">
        <v>353</v>
      </c>
      <c r="B16" s="48">
        <f>B14*B15</f>
        <v>0.76373626373626369</v>
      </c>
      <c r="C16" s="48">
        <f t="shared" ref="C16:H16" si="3">C14*C15</f>
        <v>0.20612244897959184</v>
      </c>
      <c r="D16" s="48">
        <f t="shared" si="3"/>
        <v>0.29473684210526313</v>
      </c>
      <c r="E16" s="48">
        <f t="shared" si="3"/>
        <v>0.48571428571428565</v>
      </c>
      <c r="F16" s="48"/>
      <c r="G16" s="48">
        <f t="shared" si="3"/>
        <v>0.44999999999999996</v>
      </c>
      <c r="H16" s="49">
        <f t="shared" si="3"/>
        <v>0.43155694879832812</v>
      </c>
    </row>
    <row r="17" spans="1:11">
      <c r="A17" s="44" t="s">
        <v>354</v>
      </c>
      <c r="B17" s="48">
        <f>B7/B5</f>
        <v>2.0408163265306121E-2</v>
      </c>
      <c r="C17" s="48">
        <f t="shared" ref="C17:H17" si="4">C7/C5</f>
        <v>3.125E-2</v>
      </c>
      <c r="D17" s="48">
        <f t="shared" si="4"/>
        <v>0.08</v>
      </c>
      <c r="E17" s="48">
        <f t="shared" si="4"/>
        <v>0.125</v>
      </c>
      <c r="F17" s="48"/>
      <c r="G17" s="48">
        <f t="shared" si="4"/>
        <v>5.7692307692307696E-2</v>
      </c>
      <c r="H17" s="49">
        <f t="shared" si="4"/>
        <v>5.1948051948051951E-2</v>
      </c>
      <c r="K17" s="55"/>
    </row>
    <row r="18" spans="1:11">
      <c r="A18" s="44" t="s">
        <v>355</v>
      </c>
      <c r="B18" s="48">
        <f>B8/B6</f>
        <v>7.0175438596491224E-2</v>
      </c>
      <c r="C18" s="48">
        <f t="shared" ref="C18:H18" si="5">C8/C6</f>
        <v>0.10256410256410256</v>
      </c>
      <c r="D18" s="48">
        <f t="shared" si="5"/>
        <v>0.35185185185185186</v>
      </c>
      <c r="E18" s="48">
        <f t="shared" si="5"/>
        <v>0</v>
      </c>
      <c r="F18" s="48"/>
      <c r="G18" s="48">
        <f t="shared" si="5"/>
        <v>5.2631578947368418E-2</v>
      </c>
      <c r="H18" s="49">
        <f t="shared" si="5"/>
        <v>0.16470588235294117</v>
      </c>
    </row>
    <row r="19" spans="1:11">
      <c r="A19" s="44" t="s">
        <v>356</v>
      </c>
      <c r="B19" s="48">
        <f>B9/B10</f>
        <v>0.18965517241379309</v>
      </c>
      <c r="C19" s="48">
        <f>C9/C10</f>
        <v>0.1111111111111111</v>
      </c>
      <c r="D19" s="48">
        <f>D9/D10</f>
        <v>0.22222222222222221</v>
      </c>
      <c r="E19" s="48">
        <f>E9/E10</f>
        <v>0</v>
      </c>
      <c r="F19" s="48"/>
      <c r="G19" s="48">
        <f>G9/G10</f>
        <v>0.16</v>
      </c>
      <c r="H19" s="49">
        <f>H9/H10</f>
        <v>0.15261044176706828</v>
      </c>
      <c r="I19" s="69"/>
    </row>
    <row r="20" spans="1:11">
      <c r="A20" s="44" t="s">
        <v>357</v>
      </c>
      <c r="B20" s="48">
        <f>B11/B12</f>
        <v>0.42307692307692307</v>
      </c>
      <c r="C20" s="48">
        <f>C11/C12</f>
        <v>0.42857142857142855</v>
      </c>
      <c r="D20" s="48">
        <f>D11/D12</f>
        <v>0.61538461538461542</v>
      </c>
      <c r="E20" s="48">
        <f>E11/E12</f>
        <v>1</v>
      </c>
      <c r="F20" s="48"/>
      <c r="G20" s="48">
        <f>G11/G12</f>
        <v>0.30769230769230771</v>
      </c>
      <c r="H20" s="49">
        <f>H11/H12</f>
        <v>0.46710526315789475</v>
      </c>
      <c r="I20" s="69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87FF40-CBB6-4866-9E44-6E31752FC504}">
  <dimension ref="A1:I24"/>
  <sheetViews>
    <sheetView workbookViewId="0">
      <selection activeCell="B13" sqref="B13:E13"/>
    </sheetView>
  </sheetViews>
  <sheetFormatPr defaultRowHeight="14.1"/>
  <cols>
    <col min="1" max="1" width="12.625" customWidth="1"/>
    <col min="2" max="2" width="12.125" customWidth="1"/>
    <col min="3" max="3" width="11.25" customWidth="1"/>
    <col min="4" max="4" width="11.5" customWidth="1"/>
    <col min="5" max="5" width="9.75" customWidth="1"/>
    <col min="8" max="8" width="21.125" customWidth="1"/>
  </cols>
  <sheetData>
    <row r="1" spans="1:9">
      <c r="A1" s="171" t="s">
        <v>358</v>
      </c>
      <c r="B1" s="172" t="s">
        <v>359</v>
      </c>
      <c r="C1" s="172"/>
      <c r="D1" s="58"/>
      <c r="F1" s="63" t="s">
        <v>360</v>
      </c>
      <c r="G1" s="63">
        <v>0.97399999999999998</v>
      </c>
    </row>
    <row r="2" spans="1:9">
      <c r="A2" s="171"/>
      <c r="B2" s="56" t="s">
        <v>29</v>
      </c>
      <c r="C2" s="56" t="s">
        <v>24</v>
      </c>
      <c r="D2" s="6" t="s">
        <v>361</v>
      </c>
    </row>
    <row r="3" spans="1:9">
      <c r="A3" s="57" t="s">
        <v>29</v>
      </c>
      <c r="B3" s="66">
        <f>Values!H11</f>
        <v>71</v>
      </c>
      <c r="C3" s="66">
        <f>Values!H9</f>
        <v>38</v>
      </c>
      <c r="D3" s="6">
        <f>B3+C3</f>
        <v>109</v>
      </c>
      <c r="F3" s="63" t="s">
        <v>362</v>
      </c>
      <c r="G3" s="63">
        <v>0.998</v>
      </c>
      <c r="H3" t="s">
        <v>363</v>
      </c>
    </row>
    <row r="4" spans="1:9">
      <c r="A4" s="57" t="s">
        <v>24</v>
      </c>
      <c r="B4" s="66">
        <f>81</f>
        <v>81</v>
      </c>
      <c r="C4" s="66">
        <f>212</f>
        <v>212</v>
      </c>
      <c r="D4" s="6">
        <f>B4+C4</f>
        <v>293</v>
      </c>
      <c r="H4" s="64" t="s">
        <v>364</v>
      </c>
      <c r="I4" s="65">
        <f>B3/B5</f>
        <v>0.4675728359938886</v>
      </c>
    </row>
    <row r="5" spans="1:9">
      <c r="A5" s="6" t="s">
        <v>361</v>
      </c>
      <c r="B5" s="67">
        <f>B3+B4-0.152</f>
        <v>151.84800000000001</v>
      </c>
      <c r="C5" s="67">
        <f>C3+C4+0.152</f>
        <v>250.15199999999999</v>
      </c>
      <c r="D5" s="1"/>
      <c r="H5" s="64" t="s">
        <v>365</v>
      </c>
      <c r="I5" s="65">
        <f>C3/C5</f>
        <v>0.15190764015478589</v>
      </c>
    </row>
    <row r="7" spans="1:9">
      <c r="A7" s="173" t="s">
        <v>366</v>
      </c>
      <c r="B7" s="174" t="s">
        <v>367</v>
      </c>
      <c r="C7" s="174"/>
      <c r="D7" s="174"/>
      <c r="E7" s="174"/>
      <c r="I7" s="68"/>
    </row>
    <row r="8" spans="1:9">
      <c r="A8" s="173"/>
      <c r="B8" s="59" t="s">
        <v>368</v>
      </c>
      <c r="C8" s="59" t="s">
        <v>369</v>
      </c>
      <c r="D8" s="59" t="s">
        <v>370</v>
      </c>
      <c r="E8" s="59" t="s">
        <v>371</v>
      </c>
    </row>
    <row r="9" spans="1:9">
      <c r="A9" s="60" t="s">
        <v>368</v>
      </c>
      <c r="B9" s="1">
        <f>B3*G1*G1</f>
        <v>67.35599599999999</v>
      </c>
      <c r="C9" s="1">
        <f>B3*G1*(1-G1)</f>
        <v>1.7980040000000015</v>
      </c>
      <c r="D9" s="1">
        <f>B3*(1-G1)*G1</f>
        <v>1.7980040000000015</v>
      </c>
      <c r="E9" s="1">
        <f>B3*(1-G1)*(1-G1)</f>
        <v>4.7996000000000087E-2</v>
      </c>
    </row>
    <row r="10" spans="1:9">
      <c r="A10" s="60" t="s">
        <v>369</v>
      </c>
      <c r="B10" s="1">
        <f>C3*G1*(1-G3)</f>
        <v>7.4024000000000062E-2</v>
      </c>
      <c r="C10" s="1">
        <f>C3*G1*G3</f>
        <v>36.937975999999999</v>
      </c>
      <c r="D10" s="1">
        <f>C3*(1-G3)*(1-G1)</f>
        <v>1.9760000000000034E-3</v>
      </c>
      <c r="E10" s="3">
        <f>C3*(1-G3)*G3</f>
        <v>7.5848000000000068E-2</v>
      </c>
      <c r="I10" s="55"/>
    </row>
    <row r="11" spans="1:9">
      <c r="A11" s="60" t="s">
        <v>370</v>
      </c>
      <c r="B11" s="1">
        <f>B4*(1-G3)*G1</f>
        <v>0.15778800000000012</v>
      </c>
      <c r="C11" s="1">
        <f>B4*(1-G3)*(1-G1)</f>
        <v>4.2120000000000074E-3</v>
      </c>
      <c r="D11" s="1">
        <f>B4*G3*G1</f>
        <v>78.736211999999995</v>
      </c>
      <c r="E11" s="1">
        <f>B4*G3*(1-G1)</f>
        <v>2.1017880000000018</v>
      </c>
    </row>
    <row r="12" spans="1:9">
      <c r="A12" s="60" t="s">
        <v>371</v>
      </c>
      <c r="B12" s="1">
        <f>C4*(1-G3)*(1-G3)</f>
        <v>8.4800000000000153E-4</v>
      </c>
      <c r="C12" s="1">
        <f>C4*(1-G1)*G3</f>
        <v>5.500976000000005</v>
      </c>
      <c r="D12" s="3">
        <f>C4*G3*(1-G3)</f>
        <v>0.42315200000000036</v>
      </c>
      <c r="E12" s="1">
        <f>C4*G3*G3</f>
        <v>211.15284800000001</v>
      </c>
    </row>
    <row r="13" spans="1:9">
      <c r="A13" s="62" t="s">
        <v>372</v>
      </c>
      <c r="B13" s="61">
        <f>SUM(B9:B12)</f>
        <v>67.588655999999986</v>
      </c>
      <c r="C13" s="61">
        <f t="shared" ref="C13:E13" si="0">SUM(C9:C12)</f>
        <v>44.241168000000002</v>
      </c>
      <c r="D13" s="61">
        <f t="shared" si="0"/>
        <v>80.959344000000002</v>
      </c>
      <c r="E13" s="61">
        <f t="shared" si="0"/>
        <v>213.37848</v>
      </c>
    </row>
    <row r="15" spans="1:9">
      <c r="A15" t="s">
        <v>373</v>
      </c>
    </row>
    <row r="17" spans="1:9">
      <c r="B17" s="68"/>
    </row>
    <row r="18" spans="1:9">
      <c r="A18" s="173" t="s">
        <v>366</v>
      </c>
      <c r="B18" s="174" t="s">
        <v>374</v>
      </c>
      <c r="C18" s="174"/>
      <c r="D18" s="174"/>
      <c r="E18" s="174"/>
      <c r="H18" t="s">
        <v>375</v>
      </c>
    </row>
    <row r="19" spans="1:9">
      <c r="A19" s="173"/>
      <c r="B19" s="59" t="s">
        <v>368</v>
      </c>
      <c r="C19" s="59" t="s">
        <v>369</v>
      </c>
      <c r="D19" s="59" t="s">
        <v>370</v>
      </c>
      <c r="E19" s="59" t="s">
        <v>371</v>
      </c>
    </row>
    <row r="20" spans="1:9">
      <c r="A20" s="60" t="s">
        <v>368</v>
      </c>
      <c r="B20" s="1">
        <f>B14*G12*G12</f>
        <v>0</v>
      </c>
      <c r="C20" s="1"/>
      <c r="D20" s="1">
        <f>B14*(1-G12)*G12</f>
        <v>0</v>
      </c>
      <c r="E20" s="1"/>
      <c r="H20" s="64" t="s">
        <v>364</v>
      </c>
      <c r="I20" s="95">
        <f>B24/SUM(B24,D24)</f>
        <v>0.34199599515244133</v>
      </c>
    </row>
    <row r="21" spans="1:9">
      <c r="A21" s="60" t="s">
        <v>369</v>
      </c>
      <c r="B21" s="1">
        <f>C14*G12*(1-G14)</f>
        <v>0</v>
      </c>
      <c r="C21" s="1"/>
      <c r="D21" s="1">
        <f>C14*(1-G14)*(1-G12)</f>
        <v>0</v>
      </c>
      <c r="E21" s="1"/>
      <c r="H21" s="64" t="s">
        <v>365</v>
      </c>
      <c r="I21" s="95">
        <f>C24/SUM(C24,E24)</f>
        <v>0.17173056614066953</v>
      </c>
    </row>
    <row r="22" spans="1:9">
      <c r="A22" s="60" t="s">
        <v>370</v>
      </c>
      <c r="B22" s="1">
        <f>B15*(1-G14)*G12</f>
        <v>0</v>
      </c>
      <c r="C22" s="1"/>
      <c r="D22" s="1">
        <f>B15*G14*G12</f>
        <v>0</v>
      </c>
      <c r="E22" s="1"/>
    </row>
    <row r="23" spans="1:9">
      <c r="A23" s="60" t="s">
        <v>371</v>
      </c>
      <c r="B23" s="1">
        <f>C15*(1-G14)*(1-G14)</f>
        <v>0</v>
      </c>
      <c r="C23" s="1"/>
      <c r="D23" s="1">
        <f>C15*G14*(1-G14)</f>
        <v>0</v>
      </c>
      <c r="E23" s="1"/>
    </row>
    <row r="24" spans="1:9">
      <c r="A24" s="62" t="s">
        <v>372</v>
      </c>
      <c r="B24" s="61">
        <f>(B13-(B13+D13)*I21)/(1-I21)</f>
        <v>50.802821087904853</v>
      </c>
      <c r="C24" s="61">
        <f>C13</f>
        <v>44.241168000000002</v>
      </c>
      <c r="D24" s="61">
        <f>SUM(B13,D13)-B24</f>
        <v>97.745178912095156</v>
      </c>
      <c r="E24" s="61">
        <f>E13</f>
        <v>213.37848</v>
      </c>
    </row>
  </sheetData>
  <mergeCells count="6">
    <mergeCell ref="A1:A2"/>
    <mergeCell ref="B1:C1"/>
    <mergeCell ref="A7:A8"/>
    <mergeCell ref="B7:E7"/>
    <mergeCell ref="A18:A19"/>
    <mergeCell ref="B18:E18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1F5BD-8B63-49F7-B24C-9600D39F5176}">
  <dimension ref="A1:K17"/>
  <sheetViews>
    <sheetView workbookViewId="0">
      <selection activeCell="E10" sqref="E10"/>
    </sheetView>
  </sheetViews>
  <sheetFormatPr defaultRowHeight="14.1"/>
  <cols>
    <col min="1" max="1" width="12.625" customWidth="1"/>
    <col min="2" max="2" width="12.125" customWidth="1"/>
    <col min="3" max="3" width="11.25" customWidth="1"/>
    <col min="4" max="4" width="11.5" customWidth="1"/>
    <col min="5" max="5" width="9.75" customWidth="1"/>
    <col min="8" max="8" width="21.125" customWidth="1"/>
  </cols>
  <sheetData>
    <row r="1" spans="1:11">
      <c r="A1" s="171" t="s">
        <v>358</v>
      </c>
      <c r="B1" s="172" t="s">
        <v>359</v>
      </c>
      <c r="C1" s="172"/>
      <c r="D1" s="58"/>
      <c r="F1" s="63" t="s">
        <v>360</v>
      </c>
      <c r="G1" s="63">
        <v>0.97399999999999998</v>
      </c>
    </row>
    <row r="2" spans="1:11">
      <c r="A2" s="171"/>
      <c r="B2" s="56" t="s">
        <v>29</v>
      </c>
      <c r="C2" s="56" t="s">
        <v>24</v>
      </c>
      <c r="D2" s="6" t="s">
        <v>361</v>
      </c>
    </row>
    <row r="3" spans="1:11">
      <c r="A3" s="57" t="s">
        <v>29</v>
      </c>
      <c r="B3" s="66">
        <f>Values!H11-0.152</f>
        <v>70.847999999999999</v>
      </c>
      <c r="C3" s="66">
        <f>Values!H9+0.152</f>
        <v>38.152000000000001</v>
      </c>
      <c r="D3" s="6">
        <f>B3+C3</f>
        <v>109</v>
      </c>
      <c r="F3" s="63" t="s">
        <v>362</v>
      </c>
      <c r="G3" s="63">
        <v>0.998</v>
      </c>
    </row>
    <row r="4" spans="1:11">
      <c r="A4" s="57" t="s">
        <v>24</v>
      </c>
      <c r="B4" s="66">
        <f>81-0.152</f>
        <v>80.847999999999999</v>
      </c>
      <c r="C4" s="66">
        <f>212+0.152</f>
        <v>212.15199999999999</v>
      </c>
      <c r="D4" s="6">
        <f>B4+C4</f>
        <v>293</v>
      </c>
    </row>
    <row r="5" spans="1:11">
      <c r="A5" s="6" t="s">
        <v>361</v>
      </c>
      <c r="B5" s="67">
        <f>B3+B4-0.152</f>
        <v>151.54400000000001</v>
      </c>
      <c r="C5" s="67">
        <f>C3+C4+0.152</f>
        <v>250.45599999999996</v>
      </c>
      <c r="D5" s="1"/>
    </row>
    <row r="7" spans="1:11">
      <c r="A7" s="173" t="s">
        <v>366</v>
      </c>
      <c r="B7" s="174" t="s">
        <v>376</v>
      </c>
      <c r="C7" s="174"/>
      <c r="D7" s="174"/>
      <c r="E7" s="174"/>
      <c r="H7" t="s">
        <v>377</v>
      </c>
      <c r="I7" s="68">
        <f>C3/(C3+C4)</f>
        <v>0.15242265405267197</v>
      </c>
    </row>
    <row r="8" spans="1:11">
      <c r="A8" s="173"/>
      <c r="B8" s="59" t="s">
        <v>368</v>
      </c>
      <c r="C8" s="59" t="s">
        <v>369</v>
      </c>
      <c r="D8" s="59" t="s">
        <v>370</v>
      </c>
      <c r="E8" s="59" t="s">
        <v>371</v>
      </c>
    </row>
    <row r="9" spans="1:11">
      <c r="A9" s="60" t="s">
        <v>368</v>
      </c>
      <c r="B9" s="1">
        <f>B3*G1*G1</f>
        <v>67.211797247999996</v>
      </c>
      <c r="C9" s="1">
        <f>B3*G1*(1-G1)</f>
        <v>1.7941547520000014</v>
      </c>
      <c r="D9" s="1">
        <f>B3*(1-G1)*G1</f>
        <v>1.7941547520000016</v>
      </c>
      <c r="E9" s="1">
        <f>B3*(1-G1)*(1-G1)</f>
        <v>4.789324800000009E-2</v>
      </c>
    </row>
    <row r="10" spans="1:11">
      <c r="A10" s="60" t="s">
        <v>369</v>
      </c>
      <c r="B10" s="1">
        <f>C3*G1*(1-G3)</f>
        <v>7.4320096000000072E-2</v>
      </c>
      <c r="C10" s="1">
        <f>C3*G1*G3</f>
        <v>37.085727904000002</v>
      </c>
      <c r="D10" s="1">
        <f>C3*(1-G3)*(1-G1)</f>
        <v>1.9839040000000033E-3</v>
      </c>
      <c r="E10" s="1">
        <f>C3*(1-G1)*G3</f>
        <v>0.98996809600000091</v>
      </c>
      <c r="H10" s="64" t="s">
        <v>364</v>
      </c>
      <c r="I10" s="65">
        <f>B3/(B3+B4)</f>
        <v>0.46703934184157792</v>
      </c>
      <c r="K10" s="55"/>
    </row>
    <row r="11" spans="1:11">
      <c r="A11" s="60" t="s">
        <v>370</v>
      </c>
      <c r="B11" s="1">
        <f>B4*(1-G3)*G1</f>
        <v>0.15749190400000013</v>
      </c>
      <c r="C11" s="1">
        <f>B4*(1-G3)*(1-G1)</f>
        <v>4.2040960000000079E-3</v>
      </c>
      <c r="D11" s="1">
        <f>B4*G3*G1</f>
        <v>78.588460095999991</v>
      </c>
      <c r="E11" s="1">
        <f>B4*G3*(1-G1)</f>
        <v>2.0978439040000016</v>
      </c>
      <c r="H11" s="64" t="s">
        <v>365</v>
      </c>
      <c r="I11" s="65">
        <f>C3/(C3+C4)</f>
        <v>0.15242265405267197</v>
      </c>
    </row>
    <row r="12" spans="1:11">
      <c r="A12" s="60" t="s">
        <v>371</v>
      </c>
      <c r="B12" s="1">
        <f>C4*(1-G3)*(1-G3)</f>
        <v>8.4860800000000145E-4</v>
      </c>
      <c r="C12" s="1">
        <f>C4*(1-G1)*G3</f>
        <v>5.5049200960000046</v>
      </c>
      <c r="D12" s="1">
        <f>C4*G3*(1-G1)</f>
        <v>5.5049200960000046</v>
      </c>
      <c r="E12" s="1">
        <f>C4*G3*G3</f>
        <v>211.30424060799999</v>
      </c>
    </row>
    <row r="13" spans="1:11">
      <c r="A13" s="62" t="s">
        <v>372</v>
      </c>
      <c r="B13" s="61">
        <f>SUM(B9:B12)</f>
        <v>67.444457855999985</v>
      </c>
      <c r="C13" s="61">
        <f t="shared" ref="C13:E13" si="0">SUM(C9:C12)</f>
        <v>44.389006848000015</v>
      </c>
      <c r="D13" s="61">
        <f t="shared" si="0"/>
        <v>85.889518847999994</v>
      </c>
      <c r="E13" s="61">
        <f t="shared" si="0"/>
        <v>214.43994585599998</v>
      </c>
      <c r="H13" t="s">
        <v>378</v>
      </c>
    </row>
    <row r="15" spans="1:11">
      <c r="H15" s="64" t="s">
        <v>364</v>
      </c>
      <c r="I15" s="65">
        <f>B13/(B3+C13)</f>
        <v>0.58526735204916081</v>
      </c>
    </row>
    <row r="16" spans="1:11">
      <c r="H16" s="64" t="s">
        <v>365</v>
      </c>
      <c r="I16" s="65">
        <f>D13/(D13+E13)</f>
        <v>0.2859843236914878</v>
      </c>
    </row>
    <row r="17" spans="2:2">
      <c r="B17" s="68"/>
    </row>
  </sheetData>
  <mergeCells count="4">
    <mergeCell ref="B1:C1"/>
    <mergeCell ref="A1:A2"/>
    <mergeCell ref="B7:E7"/>
    <mergeCell ref="A7:A8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CB89DE-6BE1-4FBC-8DFC-5E2EF5DA31D7}">
  <dimension ref="A1:AA8"/>
  <sheetViews>
    <sheetView workbookViewId="0">
      <selection activeCell="I7" sqref="I7"/>
    </sheetView>
  </sheetViews>
  <sheetFormatPr defaultRowHeight="14.1"/>
  <cols>
    <col min="1" max="1" width="10.375" customWidth="1"/>
    <col min="2" max="7" width="20.5" customWidth="1"/>
    <col min="9" max="9" width="10.625" customWidth="1"/>
    <col min="10" max="11" width="6.625" customWidth="1"/>
    <col min="12" max="12" width="6.375" customWidth="1"/>
    <col min="13" max="14" width="6.625" customWidth="1"/>
    <col min="15" max="15" width="6.375" customWidth="1"/>
    <col min="16" max="17" width="6.625" customWidth="1"/>
    <col min="18" max="27" width="6.375" customWidth="1"/>
  </cols>
  <sheetData>
    <row r="1" spans="1:27">
      <c r="A1" s="175" t="s">
        <v>379</v>
      </c>
      <c r="B1" s="176" t="s">
        <v>380</v>
      </c>
      <c r="C1" s="176"/>
      <c r="D1" s="176"/>
      <c r="E1" s="176"/>
      <c r="F1" s="176"/>
      <c r="G1" s="176"/>
      <c r="I1" s="175"/>
      <c r="J1" s="175"/>
      <c r="K1" s="175"/>
      <c r="L1" s="175"/>
      <c r="M1" s="175"/>
      <c r="N1" s="175"/>
      <c r="O1" s="175"/>
      <c r="P1" s="175"/>
      <c r="Q1" s="175"/>
      <c r="R1" s="175"/>
      <c r="S1" s="175"/>
      <c r="T1" s="175"/>
      <c r="U1" s="175"/>
      <c r="V1" s="175"/>
      <c r="W1" s="175"/>
      <c r="X1" s="175"/>
      <c r="Y1" s="175"/>
      <c r="Z1" s="175"/>
      <c r="AA1" s="175"/>
    </row>
    <row r="2" spans="1:27">
      <c r="A2" s="175"/>
      <c r="B2" s="23" t="s">
        <v>381</v>
      </c>
      <c r="C2" s="23" t="s">
        <v>382</v>
      </c>
      <c r="D2" s="23" t="s">
        <v>383</v>
      </c>
      <c r="E2" s="23" t="s">
        <v>384</v>
      </c>
      <c r="F2" s="23" t="s">
        <v>385</v>
      </c>
      <c r="G2" s="23" t="s">
        <v>386</v>
      </c>
      <c r="I2" s="175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</row>
    <row r="3" spans="1:27">
      <c r="A3" s="175"/>
      <c r="B3" s="176" t="s">
        <v>387</v>
      </c>
      <c r="C3" s="176"/>
      <c r="D3" s="176"/>
      <c r="E3" s="176"/>
      <c r="F3" s="176"/>
      <c r="G3" s="176"/>
      <c r="I3" s="89"/>
      <c r="J3" s="51"/>
      <c r="K3" s="90"/>
      <c r="L3" s="50"/>
      <c r="M3" s="51"/>
      <c r="N3" s="90"/>
      <c r="O3" s="50"/>
      <c r="P3" s="51"/>
      <c r="Q3" s="90"/>
      <c r="R3" s="50"/>
      <c r="S3" s="51"/>
      <c r="T3" s="90"/>
      <c r="U3" s="50"/>
      <c r="V3" s="51"/>
      <c r="W3" s="90"/>
      <c r="X3" s="50"/>
      <c r="Y3" s="51"/>
      <c r="Z3" s="90"/>
      <c r="AA3" s="50"/>
    </row>
    <row r="4" spans="1:27">
      <c r="A4" s="88">
        <v>0</v>
      </c>
      <c r="B4" s="87">
        <v>32</v>
      </c>
      <c r="C4" s="87">
        <v>32</v>
      </c>
      <c r="D4" s="87">
        <v>32</v>
      </c>
      <c r="E4" s="87">
        <v>32</v>
      </c>
      <c r="F4" s="87">
        <v>32</v>
      </c>
      <c r="G4" s="87">
        <v>32</v>
      </c>
      <c r="I4" s="88"/>
      <c r="J4" s="51"/>
      <c r="K4" s="90"/>
      <c r="L4" s="50"/>
      <c r="M4" s="51"/>
      <c r="N4" s="90"/>
      <c r="O4" s="50"/>
      <c r="P4" s="51"/>
      <c r="Q4" s="90"/>
      <c r="R4" s="50"/>
      <c r="S4" s="51"/>
      <c r="T4" s="90"/>
      <c r="U4" s="50"/>
      <c r="V4" s="51"/>
      <c r="W4" s="90"/>
      <c r="X4" s="50"/>
      <c r="Y4" s="51"/>
      <c r="Z4" s="90"/>
      <c r="AA4" s="50"/>
    </row>
    <row r="5" spans="1:27">
      <c r="A5" s="88">
        <v>2.5</v>
      </c>
      <c r="B5" s="87">
        <v>28.82</v>
      </c>
      <c r="C5" s="87">
        <v>17.84</v>
      </c>
      <c r="D5" s="87">
        <v>26.12</v>
      </c>
      <c r="E5" s="87">
        <v>17.7</v>
      </c>
      <c r="F5" s="87">
        <v>11</v>
      </c>
      <c r="G5" s="87">
        <v>7.73</v>
      </c>
      <c r="I5" s="88"/>
      <c r="J5" s="51"/>
      <c r="K5" s="90"/>
      <c r="L5" s="50"/>
      <c r="M5" s="51"/>
      <c r="N5" s="90"/>
      <c r="O5" s="50"/>
      <c r="P5" s="51"/>
      <c r="Q5" s="90"/>
      <c r="R5" s="50"/>
      <c r="S5" s="51"/>
      <c r="T5" s="90"/>
      <c r="U5" s="50"/>
      <c r="V5" s="51"/>
      <c r="W5" s="90"/>
      <c r="X5" s="50"/>
      <c r="Y5" s="51"/>
      <c r="Z5" s="90"/>
      <c r="AA5" s="50"/>
    </row>
    <row r="6" spans="1:27">
      <c r="A6" s="88">
        <v>5</v>
      </c>
      <c r="B6" s="87">
        <v>28.22</v>
      </c>
      <c r="C6" s="87">
        <v>11.72</v>
      </c>
      <c r="D6" s="87">
        <v>23.78</v>
      </c>
      <c r="E6" s="87">
        <v>11.7</v>
      </c>
      <c r="F6" s="87">
        <v>6.25</v>
      </c>
      <c r="G6" s="87">
        <v>1.9</v>
      </c>
      <c r="I6" s="88"/>
      <c r="J6" s="51"/>
      <c r="K6" s="90"/>
      <c r="L6" s="50"/>
      <c r="M6" s="51"/>
      <c r="N6" s="90"/>
      <c r="O6" s="50"/>
      <c r="P6" s="51"/>
      <c r="Q6" s="90"/>
      <c r="R6" s="50"/>
      <c r="S6" s="51"/>
      <c r="T6" s="90"/>
      <c r="U6" s="50"/>
      <c r="V6" s="51"/>
      <c r="W6" s="90"/>
      <c r="X6" s="50"/>
      <c r="Y6" s="51"/>
      <c r="Z6" s="90"/>
      <c r="AA6" s="50"/>
    </row>
    <row r="7" spans="1:27">
      <c r="A7" s="88">
        <v>7.5</v>
      </c>
      <c r="B7" s="87">
        <v>28.01</v>
      </c>
      <c r="C7" s="87">
        <v>9.4</v>
      </c>
      <c r="D7" s="87">
        <v>22.59</v>
      </c>
      <c r="E7" s="87">
        <v>6.9</v>
      </c>
      <c r="F7" s="87">
        <v>5.27</v>
      </c>
      <c r="G7" s="87">
        <v>0.59</v>
      </c>
      <c r="I7" s="88"/>
      <c r="J7" s="91"/>
      <c r="K7" s="92"/>
      <c r="L7" s="93"/>
      <c r="M7" s="91"/>
      <c r="N7" s="92"/>
      <c r="O7" s="93"/>
      <c r="P7" s="91"/>
      <c r="Q7" s="92"/>
      <c r="R7" s="93"/>
      <c r="S7" s="91"/>
      <c r="T7" s="92"/>
      <c r="U7" s="93"/>
      <c r="V7" s="91"/>
      <c r="W7" s="92"/>
      <c r="X7" s="93"/>
      <c r="Y7" s="91"/>
      <c r="Z7" s="92"/>
      <c r="AA7" s="93"/>
    </row>
    <row r="8" spans="1:27">
      <c r="A8" s="88">
        <v>10</v>
      </c>
      <c r="B8" s="87">
        <v>27.95</v>
      </c>
      <c r="C8" s="87">
        <v>8.5299999999999994</v>
      </c>
      <c r="D8" s="87">
        <v>21.88</v>
      </c>
      <c r="E8" s="87">
        <v>5.9</v>
      </c>
      <c r="F8" s="87">
        <v>5.13</v>
      </c>
      <c r="G8" s="87">
        <v>0.11</v>
      </c>
    </row>
  </sheetData>
  <mergeCells count="10">
    <mergeCell ref="A1:A3"/>
    <mergeCell ref="B1:G1"/>
    <mergeCell ref="B3:G3"/>
    <mergeCell ref="Y1:AA1"/>
    <mergeCell ref="I1:I2"/>
    <mergeCell ref="J1:L1"/>
    <mergeCell ref="M1:O1"/>
    <mergeCell ref="P1:R1"/>
    <mergeCell ref="S1:U1"/>
    <mergeCell ref="V1:X1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Pedro De Oliveira Nogueira</dc:creator>
  <cp:keywords/>
  <dc:description/>
  <cp:lastModifiedBy/>
  <cp:revision/>
  <dcterms:created xsi:type="dcterms:W3CDTF">2024-08-07T06:25:19Z</dcterms:created>
  <dcterms:modified xsi:type="dcterms:W3CDTF">2025-04-30T02:52:54Z</dcterms:modified>
  <cp:category/>
  <cp:contentStatus/>
</cp:coreProperties>
</file>